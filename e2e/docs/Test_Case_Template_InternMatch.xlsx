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est Cas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<sst xmlns="http://schemas.openxmlformats.org/spreadsheetml/2006/main" count="1985" uniqueCount="701">
  <si>
    <t>How to Use This Template</t>
  </si>
  <si>
    <t>Field</t>
  </si>
  <si>
    <t>Description</t>
  </si>
  <si>
    <t>Test Case ID</t>
  </si>
  <si>
    <t>Unique identifier, e.g. TC-001, TC-002. Keep sequential per module or project.</t>
  </si>
  <si>
    <t>Module / Feature</t>
  </si>
  <si>
    <t>The functional area being tested, e.g. Login, Checkout, Reports.</t>
  </si>
  <si>
    <t>Test Case Title</t>
  </si>
  <si>
    <t>A short, descriptive name of what the test verifies.</t>
  </si>
  <si>
    <t>Requirement / User Story ID</t>
  </si>
  <si>
    <t>Link back to the requirement, ticket, or user story this test covers (e.g. US-101, JIRA-234).</t>
  </si>
  <si>
    <t>Test Type</t>
  </si>
  <si>
    <t>Functional, Regression, Smoke, Sanity, UAT, Integration, Performance, Security, Usability, or Exploratory. Choose from the dropdown.</t>
  </si>
  <si>
    <t>Priority</t>
  </si>
  <si>
    <t>Business importance of the test case: High, Medium, or Low. Choose from the dropdown.</t>
  </si>
  <si>
    <t>Severity</t>
  </si>
  <si>
    <t>Impact if this fails: Critical, Major, Minor, or Trivial. Choose from the dropdown.</t>
  </si>
  <si>
    <t>Preconditions</t>
  </si>
  <si>
    <t>Conditions that must be true before executing the test (e.g. user is registered, data exists).</t>
  </si>
  <si>
    <t>Test Data</t>
  </si>
  <si>
    <t>Specific input values needed to execute the test, e.g. usernames, passwords, sample records.</t>
  </si>
  <si>
    <t>Test Steps</t>
  </si>
  <si>
    <t>Numbered, step-by-step actions the tester performs. Keep steps atomic and unambiguous.</t>
  </si>
  <si>
    <t>Expected Result</t>
  </si>
  <si>
    <t>What should happen if the system behaves correctly.</t>
  </si>
  <si>
    <t>Actual Result</t>
  </si>
  <si>
    <t>What actually happened during execution. Fill in only after running the test.</t>
  </si>
  <si>
    <t>Status</t>
  </si>
  <si>
    <t>Not Run, Pass, Fail, Blocked, In Progress, or Skipped. Choose from the dropdown; rows are color-coded automatically.</t>
  </si>
  <si>
    <t>Environment</t>
  </si>
  <si>
    <t>Where the test was executed, e.g. Dev, QA, Staging, Production.</t>
  </si>
  <si>
    <t>Executed By</t>
  </si>
  <si>
    <t>Name of the tester who ran the test case.</t>
  </si>
  <si>
    <t>Execution Date</t>
  </si>
  <si>
    <t>Date the test was executed.</t>
  </si>
  <si>
    <t>Defect ID</t>
  </si>
  <si>
    <t>Bug/issue tracker ID if the test failed, e.g. BUG-456.</t>
  </si>
  <si>
    <t>Remarks / Comments</t>
  </si>
  <si>
    <t>Any additional notes, edge cases, or context.</t>
  </si>
  <si>
    <t>Tips</t>
  </si>
  <si>
    <t>- Delete the yellow example row in 'Test Cases' before sharing or executing the sheet.</t>
  </si>
  <si>
    <t>- Use the filter arrows on the header row to sort/filter by Status, Priority, or Module.</t>
  </si>
  <si>
    <t>- The 'Summary' tab updates automatically as you fill in the Status column.</t>
  </si>
  <si>
    <t>- Keep one test case per row; split complex scenarios into multiple smaller test cases where possible.</t>
  </si>
  <si>
    <t>QA / UAT Test Case Template</t>
  </si>
  <si>
    <t>Yellow cells = example row (for reference only, delete before use). Fill in one row per test case. See the 'Instructions' tab for field definitions.</t>
  </si>
  <si>
    <t>TC-I1-W3-1-001</t>
  </si>
  <si>
    <t>W3-1 ลงทะเบียนนักศึกษา</t>
  </si>
  <si>
    <t>ลงทะเบียนนักศึกษาด้วยข้อมูลถูกต้องครบถ้วน (Normal Successful Case)</t>
  </si>
  <si>
    <t>W3-1</t>
  </si>
  <si>
    <t>Functional</t>
  </si>
  <si>
    <t>High</t>
  </si>
  <si>
    <t>Critical</t>
  </si>
  <si>
    <t>เข้าสู่หน้าลงทะเบียนนักศึกษา (/auth/register/student)</t>
  </si>
  <si>
    <t xml:space="preserve">Email: student_test_[timestamp]@example.com
Username: student_test01_[timestamp]
Password: Password123!
Full Name: สมชาย สายเรียน
Phone: 0812345678
University: KMUTT
Faculty: SIT
Major: IT
Study Year: 3rd Year (ปี 3)</t>
  </si>
  <si>
    <t xml:space="preserve">1. เปิดหน้าเว็บ /auth/register/student
2. กรอก Email, Username และ Password ในส่วน Account Information
3. กรอก Full Name, Phone, University, Faculty, Major และเลือก Year of Study ในส่วน Student Profile
4. กดปุ่ม "Register Account"</t>
  </si>
  <si>
    <t xml:space="preserve">1. ระบบแสดงข้อความสำเร็จ "สมัครสมาชิกและบันทึกข้อมูลนักศึกษาสำเร็จเรียบร้อย! 🎉 Redirecting to login page..."
2. ระบบนำทางผู้ใช้ไปยังหน้าเข้าสู่ระบบ (/auth/login) โดยอัตโนมัติภายใน 1.5 วินาที</t>
  </si>
  <si>
    <t xml:space="preserve">1. ระบบแสดงข้อความสำเร็จ "สมัครสมาชิกและบันทึกข้อมูลนักศึกษาสำเร็จเรียบร้อย! 🎉 Redirecting to login page..."
2. ระบบนำทางผู้ใช้ไปยังหน้าเข้าสู่ระบบ (/auth/login) โดยอัตโนมัติ (Pass)</t>
  </si>
  <si>
    <t>Pass</t>
  </si>
  <si>
    <t>Development (Localhost)</t>
  </si>
  <si>
    <t>Playwright E2E</t>
  </si>
  <si>
    <t>18/08/2569</t>
  </si>
  <si>
    <t>Normal Assume Successful Case</t>
  </si>
  <si>
    <t>TC-I1-W3-1-002</t>
  </si>
  <si>
    <t>ลงทะเบียนนักศึกษาด้วย Email หรือ Username ที่มีในระบบแล้ว (Worst Duplicate Error Case)</t>
  </si>
  <si>
    <t>Major</t>
  </si>
  <si>
    <t>มีบัญชี student_test@example.com อยู่ในฐานข้อมูลแล้ว</t>
  </si>
  <si>
    <t xml:space="preserve">Email: student_test_[timestamp]@example.com (ซ้ำ)
Username: student_test01_[timestamp] (ซ้ำ)
Password: Password123!</t>
  </si>
  <si>
    <t xml:space="preserve">1. เปิดหน้าเว็บ /auth/register/student
2. กรอก Email หรือ Username ที่มีอยู่เดิมในฐานข้อมูล
3. กรอกข้อมูลส่วนตัวอื่นๆ ให้ครบถ้วน
4. กดปุ่ม "Register Account"</t>
  </si>
  <si>
    <t xml:space="preserve">1. ระบบตอบกลับข้อผิดพลาดจากฐานข้อมูล "ผิดพลาดฝั่งบัญชี: duplicate key value violates unique constraint..."
2. ฟอร์มแสดงข้อความ Error สีแดง และไม่อนุญาตให้ผ่านไปหน้าเข้าสู่ระบบ</t>
  </si>
  <si>
    <t>ระบบแสดงข้อความผิดพลาดจากฐานข้อมูล/ระบบ แต่การทดสอบล้มเหลวเนื่องจาก Strict mode violation (พบ element กล่องข้อความแจ้งเตือน 6 ตำแหน่งตรงกับคำค้นหาใน locator)</t>
  </si>
  <si>
    <t>Fail</t>
  </si>
  <si>
    <t>Worst Assume Wrong Case</t>
  </si>
  <si>
    <t>TC-I1-W3-1-003</t>
  </si>
  <si>
    <t>ลงทะเบียนนักศึกษาโดยอัปโหลดไฟล์ Resume ที่มีขนาดเกิน 10MB (File Size Limit Edge Case)</t>
  </si>
  <si>
    <t>Medium</t>
  </si>
  <si>
    <t>Minor</t>
  </si>
  <si>
    <t>เปิดหน้าลงทะเบียนนักศึกษา (/auth/register/student) และมีไฟล์ PDF ขนาด 12MB</t>
  </si>
  <si>
    <t>File: large_resume_12mb.pdf (ขนาด 12MB &gt; Limit 10MB)</t>
  </si>
  <si>
    <t xml:space="preserve">1. เปิดหน้าเว็บ /auth/register/student
2. ในส่วน Resume File คลิกเลือกอัปโหลดไฟล์ PDF ขนาด 12MB
3. สังเกตการตอบกลับของระบบขณะอัปโหลดไฟล์</t>
  </si>
  <si>
    <t xml:space="preserve">1. ระบบตรวจจับขนาดไฟล์เกินขีดจำกัด 10MB
2. ระบบแสดง Dialog Alert "Upload failed: File size exceeds 10MB limit"
3. ไฟล์ไม่ถูกอัปโหลดขึ้นสโตเรจ และระบบบล็อกการลงทะเบียนอย่างปลอดภัย</t>
  </si>
  <si>
    <t>ระบบตรวจจับขนาดไฟล์เกินกำหนด แต่ Dialog Alert message ไม่ตรงกับข้อความที่คาดหวังในการตรวจสอบ assertion (expect(received).toContain(expected))</t>
  </si>
  <si>
    <t>Weird / Edge Case</t>
  </si>
  <si>
    <t>TC-I1-W3-2-001</t>
  </si>
  <si>
    <t>W3-2 ลงทะเบียนบริษัท</t>
  </si>
  <si>
    <t>ลงทะเบียนบริษัทด้วยข้อมูลถูกต้องครบถ้วน (Normal Successful Case)</t>
  </si>
  <si>
    <t>W3-2</t>
  </si>
  <si>
    <t>เข้าสู่หน้าลงทะเบียนบริษัท (/auth/register/company)</t>
  </si>
  <si>
    <t xml:space="preserve">Corporate Email: hr@techcompany.co.th
Username: techcompany_hr
Password: Password123!
Company Name: บริษัท เทคโนโลยีไทย จำกัด
Website URL: https://www.techcompany.co.th
Province: กรุงเทพมหานคร
Full Address: 123 ถนนสุขุมวิท
Description: บริษัทซอฟต์แวร์ชั้นนำ</t>
  </si>
  <si>
    <t xml:space="preserve">1. เปิดหน้าเว็บ /auth/register/company
2. กรอก Corporate Email, Username และ Password ในส่วน Account Information
3. กรอก Company Name, Website URL, Province, Full Address และ Description ในส่วน Company Profile
4. กดปุ่ม "Register Company"</t>
  </si>
  <si>
    <t xml:space="preserve">1. ระบบแสดงข้อความสำเร็จ "ลงทะเบียนบัญชีบริษัทสำเร็จเรียบร้อย! 🎉 Redirecting to login page..."
2. ระบบนำทางไปยังหน้าเข้าสู่ระบบ (/auth/login) โดยอัตโนมัติภายใน 1.5 วินาที</t>
  </si>
  <si>
    <t xml:space="preserve">1. ระบบแสดงข้อความสำเร็จ "ลงทะเบียนบัญชีบริษัทสำเร็จเรียบร้อย! 🎉 Redirecting to login page..."
2. ระบบนำทางไปยังหน้าเข้าสู่ระบบ (/auth/login) โดยอัตโนมัติภายใน 1.5 วินาที (Pass)</t>
  </si>
  <si>
    <t>TC-I1-W3-2-002</t>
  </si>
  <si>
    <t>ลงทะเบียนบริษัทโดยเว้นว่างฟิลด์บังคับ เช่น Company Name (Worst Invalid Input Case)</t>
  </si>
  <si>
    <t>เปิดหน้าลงทะเบียนบริษัท (/auth/register/company)</t>
  </si>
  <si>
    <t xml:space="preserve">Company Name: "" (เว้นว่าง)
Corporate Email: hr@techcompany.co.th
Password: Password123!</t>
  </si>
  <si>
    <t xml:space="preserve">1. เปิดหน้าเว็บ /auth/register/company
2. ปล่อยช่อง Company Name เป็นค่าว่าง
3. กรอกข้อมูลส่วนอื่นตามปกติ
4. กดปุ่ม "Register Company"</t>
  </si>
  <si>
    <t xml:space="preserve">1. เบราว์เซอร์หรือฟอร์มแจ้งเตือนให้กรอกข้อมูลในช่องบังคับ (HTML5 Required Validation)
2. ฟอร์มไม่ส่งข้อมูลไปเซิร์ฟเวอร์ และบล็อกการลงทะเบียนสำเร็จ</t>
  </si>
  <si>
    <t xml:space="preserve">1. เบราว์เซอร์แจ้งเตือน HTML5 Required Validation ที่ช่อง Company Name
2. ฟอร์มไม่อนุญาตให้ส่งข้อมูล และบล็อกการลงทะเบียนสำเร็จ (Pass)</t>
  </si>
  <si>
    <t>TC-I1-W3-2-003</t>
  </si>
  <si>
    <t>ลงทะเบียนบริษัทด้วยข้อมูลอักขระพิเศษภาษาไทย/อังกฤษ/สัญลักษณ์ และข้อความยาวเป็นพิเศษ (Special Chars &amp; Boundary Edge Case)</t>
  </si>
  <si>
    <t>Low</t>
  </si>
  <si>
    <t xml:space="preserve">Company Name: บริษัท นวัตกรรมซอฟต์แวร์แอนด์ไอที (ประเทศไทย) จำกัด [มหาชน] &amp; Co., Ltd.
Address: ข้อความยาว 500 อักขระพร้อมสัญลักษณ์ &amp; @ # ! * ()</t>
  </si>
  <si>
    <t xml:space="preserve">1. เปิดหน้าเว็บ /auth/register/company
2. กรอก Company Name ที่มีวงเล็บ และอักขระพิเศษหลากหลายภาษา
3. กรอก Address ที่มีข้อความยาวมากเป็นพิเศษ
4. กดปุ่ม "Register Company"</t>
  </si>
  <si>
    <t xml:space="preserve">1. ระบบรับและจัดเก็บข้อมูลลงตาราง companies ได้อย่างถูกต้องโดยไม่เกิด Database Encoding Error
2. หน้าเว็บสามารถแสดงผลข้อความยาวและอักขระพิเศษได้โดยไม่เสียรูปแบบ UI</t>
  </si>
  <si>
    <t xml:space="preserve">1. ระบบรับและจัดเก็บข้อมูลบริษัทที่มีชื่อวงเล็บ อักขระพิเศษ และที่อยู่อย่างยาวลงตาราง companies ได้อย่างถูกต้อง
2. หน้าเว็บแสดงผลได้สมบูรณ์โดยไม่เสียรูปแบบ UI (Pass)</t>
  </si>
  <si>
    <t>TC-I1-W3-3-001</t>
  </si>
  <si>
    <t>W3-3 เข้าสู่ระบบ</t>
  </si>
  <si>
    <t>เข้าสู่ระบบด้วย Email/Username และ Password ที่ถูกต้อง พร้อมทดสอบ Remember Me (Normal Successful Case)</t>
  </si>
  <si>
    <t>W3-3</t>
  </si>
  <si>
    <t>มีบัญชีผู้ใช้ในระบบ และเข้าสู่หน้าเข้าสู่ระบบ (/auth/login)</t>
  </si>
  <si>
    <t xml:space="preserve">Email/Username: student_test@example.com
Password: Password123!
Remember Me: Checked</t>
  </si>
  <si>
    <t xml:space="preserve">1. เปิดหน้าเข้าสู่ระบบ /auth/login
2. กรอก Email หรือ Username ในช่อง Email or Username
3. กรอก Password ในช่อง Password
4. ติ๊กเลือกช่อง "Remember me"
5. กดปุ่ม "Login"</t>
  </si>
  <si>
    <t xml:space="preserve">1. ระบบตรวจสอบข้อมูลถูกต้องและออกคุกกี้ auth_token (อายุ 30 วัน)
2. ระบบนำทางผู้ใช้ไปยังหน้า Dashboard (/dashboard) สำเร็จ
3. ข้อมูล Email ถูกบันทึกลงใน localStorage สำหรับคราวต่อไป</t>
  </si>
  <si>
    <t>การทดสอบล้มเหลวจาก Timeout 30000ms ขณะรอ Element input[id="remember_me"] ในหน้า Login</t>
  </si>
  <si>
    <t>TC-I1-W3-3-002</t>
  </si>
  <si>
    <t>เข้าสู่ระบบด้วย Password ไม่ถูกต้อง หรือใช้อีเมลที่ไม่มีในฐานข้อมูล (Worst Invalid Authentication Case)</t>
  </si>
  <si>
    <t>เปิดหน้าเข้าสู่ระบบ (/auth/login)</t>
  </si>
  <si>
    <t xml:space="preserve">Email/Username: student_test@example.com
Password: WrongPassword999!</t>
  </si>
  <si>
    <t xml:space="preserve">1. เปิดหน้าเข้าสู่ระบบ /auth/login
2. กรอก Email หรือ Username
3. กรอก Password ที่ผิดพลาด
4. กดปุ่ม "Login"</t>
  </si>
  <si>
    <t xml:space="preserve">1. ระบบตอบกลับ HTTP Status 401 Unauthorized
2. ฟอร์มแสดงกล่อง Alert ข้อความสีแดง "รหัสผ่านไม่ถูกต้อง" หรือ "ไม่พบบัญชีผู้ใช้นี้ในระบบ"
3. ไม่อนุญาตให้เข้าสู่ระบบและไม่สร้างคุกกี้ auth_token</t>
  </si>
  <si>
    <t>ระบบแสดง Alert ข้อความสีแดงรหัสผ่านไม่ถูกต้อง แต่การทดสอบล้มเหลวเนื่องจาก Strict mode violation บน Locator ฟิลเตอร์</t>
  </si>
  <si>
    <t>TC-I1-W3-3-003</t>
  </si>
  <si>
    <t>เข้าสู่ระบบโดยกรอก Email ที่มีช่องว่างส่วนหัว/ส่วนท้าย (Leading/Trailing Spaces) หรือ SQL Injection Pattern (Sanitization &amp; Injection Edge Case)</t>
  </si>
  <si>
    <t>Security</t>
  </si>
  <si>
    <t>มีบัญชี student_test@example.com ในระบบ</t>
  </si>
  <si>
    <t xml:space="preserve">Identity: "  student_test@example.com  " หรือ ' OR '1'='1
Password: Password123!</t>
  </si>
  <si>
    <t xml:space="preserve">1. เปิดหน้าเข้าสู่ระบบ /auth/login
2. กรอก Identity ที่มีเว้นวรรคช่องว่างหน้า-หลัง หรือข้อความ SQL Injection
3. กรอก Password ที่ถูกต้อง
4. กดปุ่ม "Login"</t>
  </si>
  <si>
    <t xml:space="preserve">1. ระบบทำการ .trim().toLowerCase() ล้างช่องว่างส่วนเกิน และใช้ Prepared Statement ป้องกัน SQL Injection
2. สามารถเข้าสู่ระบบได้สำเร็จเมื่อใช้อีเมลที่มีเว้นวรรค หรือปฏิเสธโค้ดอันตรายได้อย่างปลอดภัย</t>
  </si>
  <si>
    <t>ระบบ Sanitized ช่องว่างและปฏิเสธ SQL Injection แต่การทดสอบล้มเหลวเนื่องจาก Strict mode violation บน Locator ฟิลเตอร์</t>
  </si>
  <si>
    <t>TC-I1-W3-4-001</t>
  </si>
  <si>
    <t>W3-4 ออกจากระบบ</t>
  </si>
  <si>
    <t>ออกจากระบบผ่านเมนู Sidebar และยกเลิก Session คุกกี้ (Normal Successful Case)</t>
  </si>
  <si>
    <t>W3-4</t>
  </si>
  <si>
    <t>ผู้ใช้อยู่ในสถานะ Authenticated และอยู่ที่หน้า Dashboard (/dashboard)</t>
  </si>
  <si>
    <t>N/A</t>
  </si>
  <si>
    <t xml:space="preserve">1. มองหาเมนู Sidebar ฝั่งซ้าย
2. กดปุ่ม "Logout" (ไอคอน LogOut สีแดง)
3. ตรวจสอบการลบ auth_token cookie ในระบบ</t>
  </si>
  <si>
    <t xml:space="preserve">1. ระบบทำการลบคุกกี้ auth_token ออกจากเบราว์เซอร์
2. ระบบนำทางผู้ใช้กลับไปยังหน้าเข้าสู่ระบบ (/auth/login)
3. หากพยายามกดปุ่ม Back บนเบราว์เซอร์ จะไม่สามารถเข้าถึงหน้า Dashboard ได้</t>
  </si>
  <si>
    <t>การทดสอบล้มเหลวเนื่องจาก Timeout 30000ms ขณะรอกดปุ่ม Logout บน Sidebar หรือการนำทางหน้าจอ</t>
  </si>
  <si>
    <t>TC-I1-W3-4-002</t>
  </si>
  <si>
    <t>พยายามเรียกใช้งาน Logout Endpoint (/api/auth/logout) โดยที่ไม่ได้เข้าสู่ระบบอยู่ก่อน (Worst Unauthenticated Logout Case)</t>
  </si>
  <si>
    <t>เปิดเบราว์เซอร์ใหม่โดยไม่มี Cookie auth_token</t>
  </si>
  <si>
    <t xml:space="preserve">1. พิมพ์ URL /api/auth/logout ในช่อง Address Bar โดยตรงขณะไม่ได้ล็อกอิน
2. สังเกตการทำงานของระบบ</t>
  </si>
  <si>
    <t xml:space="preserve">1. ระบบยังคงทำงานได้อย่างปลอดภัย (Safe Fallback)
2. สร้าง HTTP Redirect 307/302 ส่งผู้ใช้ไปที่หน้า /auth/login โดยไม่เกิด Error 500 Internal Server Error</t>
  </si>
  <si>
    <t xml:space="preserve">1. ระบบยังคงทำงานได้อย่างปลอดภัย (Safe Fallback)
2. สร้าง HTTP Redirect 307/302 ส่งผู้ใช้ไปที่หน้า /auth/login โดยไม่เกิด Error 500 Internal Server Error (Pass)</t>
  </si>
  <si>
    <t>TC-I1-W3-4-003</t>
  </si>
  <si>
    <t>พยายามกดปุ่ม Back บนเบราว์เซอร์ย้อนกลับไปยังหน้า Dashboard หลังออกจากระบบ (Browser Back Button Post-Logout Edge Case)</t>
  </si>
  <si>
    <t>เพิ่งทำการ Logout ออกจากระบบสำเร็จและถูกส่งมาที่หน้า /auth/login</t>
  </si>
  <si>
    <t xml:space="preserve">1. กดปุ่ม Back (ถอยหลัง) บนเบราว์เซอร์ทันทีหลังกด Logout
2. สังเกตการป้องกันสิทธิ์ของระบบ</t>
  </si>
  <si>
    <t xml:space="preserve">1. ระบบ (Server-side Auth check) ตรวจไม่พบ auth_token cookie
2. บังคับ Redirect ย้อนกลับมาที่หน้า /auth/login ทันที ป้องกันการแสดงผลข้อมูลส่วนตัวค้างบนเบราว์เซอร์</t>
  </si>
  <si>
    <t>การทดสอบล้มเหลวจาก Timeout 30000ms ในขั้นตอนลงทะเบียนก่อนทดสอบปุ่ม Back บนเบราว์เซอร์</t>
  </si>
  <si>
    <t>TC-I1-W3-5-001</t>
  </si>
  <si>
    <t>W3-5 รีเซ็ตรหัสผ่าน</t>
  </si>
  <si>
    <t>ร้องขอลิงก์รีเซ็ตรหัสผ่านและตั้งรหัสผ่านใหม่ด้วย Token ที่ถูกต้อง (Normal Successful Case)</t>
  </si>
  <si>
    <t>W3-5</t>
  </si>
  <si>
    <t>มีบัญชีอยู่ในระบบ เข้าหน้า /auth/forgot-password</t>
  </si>
  <si>
    <t xml:space="preserve">Email: student_test@example.com
New Password: NewPassword123!
Confirm Password: NewPassword123!</t>
  </si>
  <si>
    <t xml:space="preserve">1. เปิดหน้า /auth/forgot-password
2. กรอก Email ขอรับลิงก์รีเซ็ตรหัสผ่าน
3. เปิดลิงก์รีเซ็ตรหัสผ่านพร้อม Token (/auth/reset-password?token=...)
4. กรอกรหัสผ่านใหม่ที่ตรงกันทั้ง 2 ช่อง
5. กดปุ่ม "ยืนยันรหัสผ่านใหม่"</t>
  </si>
  <si>
    <t xml:space="preserve">1. ระบบส่งอีเมลแจ้งลิงก์รีเซ็ตรหัสผ่านสำเร็จ
2. แสดงข้อความ "เปลี่ยนรหัสผ่านใหม่เสร็จสมบูรณ์! กำลังนำทางไปหน้าเข้าสู่ระบบ..."
3. นำทางไปหน้า /auth/login อัตโนมัติใน 2 วินาที</t>
  </si>
  <si>
    <t>ระบบส่งอีเมลและแสดงข้อความ แต่การทดสอบล้มเหลวเนื่องจาก Strict mode violation บน Locator ฟิลเตอร์ข้อความสำเร็จ</t>
  </si>
  <si>
    <t>TC-I1-W3-5-002</t>
  </si>
  <si>
    <t>ตั้งรหัสผ่านใหม่โดยกรอก New Password ไม่ตรงกับ Confirm Password (Worst Password Mismatch Case)</t>
  </si>
  <si>
    <t>เข้าสู่หน้าตั้งรหัสผ่านใหม่ (/auth/reset-password?token=valid_token)</t>
  </si>
  <si>
    <t xml:space="preserve">New Password: Password123!
Confirm Password: DifferentPassword999!</t>
  </si>
  <si>
    <t xml:space="preserve">1. เปิดหน้า /auth/reset-password พร้อม Token
2. กรอก New Password เป็น Password123!
3. กรอก Confirm Password เป็น DifferentPassword999!
4. กดปุ่ม "ยืนยันรหัสผ่านใหม่"</t>
  </si>
  <si>
    <t xml:space="preserve">1. ระบบเปรียบเทียบรหัสผ่านล้มเหลว และแสดงข้อความ Error สีแดง "รหัสผ่านไม่ตรงกัน"
2. ระบบไม่ส่ง API Request ไปยังเซิร์ฟเวอร์ และไม่อัปเดตรหัสผ่านใหม่</t>
  </si>
  <si>
    <t xml:space="preserve">1. ระบบเปรียบเทียบรหัสผ่านล้มเหลว และแสดงข้อความ Error สีแดง "รหัสผ่านไม่ตรงกัน"
2. ระบบไม่ส่ง API Request ไปยังเซิร์ฟเวอร์ และไม่อัปเดตรหัสผ่านใหม่ (Pass)</t>
  </si>
  <si>
    <t>TC-I1-W3-5-003</t>
  </si>
  <si>
    <t>เปิดหน้าตั้งรหัสผ่านใหม่โดยไม่มี Query Parameter Token หรือใช้ Token ที่หมดอายุ (Missing/Invalid Token Edge Case)</t>
  </si>
  <si>
    <t>เปิดหน้า /auth/reset-password โดยไม่มี ?token= ใน URL</t>
  </si>
  <si>
    <t>URL: http://localhost:3000/auth/reset-password (No Token)</t>
  </si>
  <si>
    <t xml:space="preserve">1. เข้าหน้า /auth/reset-password โดยตรงโดยไม่มี Token ปะหน้า URL
2. สังเกตสถานะของปุ่มส่งฟอร์ม</t>
  </si>
  <si>
    <t xml:space="preserve">1. ปุ่ม "ยืนยันรหัสผ่านใหม่" ถูก Disable อัตโนมัติ (disabled={!token})
2. หากพยายามยิง API จะถูกปฏิเสธด้วยข้อความ "เกิดข้อผิดพลาด" หรือ "Invalid token"</t>
  </si>
  <si>
    <t xml:space="preserve">1. ปุ่ม "ยืนยันรหัสผ่านใหม่" ถูก Disable อัตโนมัติ (disabled={!token})
2. ไม่อนุญาตให้ส่งฟอร์มเมื่อไม่มี Token ใน URL (Pass)</t>
  </si>
  <si>
    <t>TC-I1-W3-6-001</t>
  </si>
  <si>
    <t>W3-6 เปลี่ยนรหัสผ่าน</t>
  </si>
  <si>
    <t>เปลี่ยนรหัสผ่านผู้ใช้งานในหน้าโปรไฟล์ (Profile Settings) ด้วยข้อมูลถูกต้อง (Normal Successful Case)</t>
  </si>
  <si>
    <t>W3-6</t>
  </si>
  <si>
    <t>เข้าสู่ระบบแล้ว อยู่ที่หน้า /dashboard/profile</t>
  </si>
  <si>
    <t xml:space="preserve">Current Password: Password123!
New Password: NewPassword123!
Confirm New Password: NewPassword123!</t>
  </si>
  <si>
    <t xml:space="preserve">1. นำทางไปยังส่วน Change Password ในหน้า /dashboard/profile
2. กรอก Current Password, New Password และ Confirm New Password
3. กดปุ่ม "Update Password"</t>
  </si>
  <si>
    <t xml:space="preserve">1. ระบบตรวจสอบรหัสผ่านปัจจุบันถูกต้อง และรหัสผ่านใหม่ตรงกัน
2. แสดงข้อความสำเร็จ "อัปเดตรหัสผ่านใหม่สำเร็จเรียบร้อย! 🎉"
3. เคลียร์ค่ารหัสผ่านในฟอร์มเป็นค่าว่างเพื่อความปลอดภัย</t>
  </si>
  <si>
    <t>การทดสอบล้มเหลวเนื่องจากไม่พบ Element ข้อความแจ้งอัปเดตรหัสผ่านสำเร็จภายในเวลาที่กำหนด</t>
  </si>
  <si>
    <t>TC-I1-W3-6-002</t>
  </si>
  <si>
    <t>เปลี่ยนรหัสผ่านโดยกรอก รหัสผ่านปัจจุบัน (Current Password) ไม่ถูกต้อง (Worst Invalid Current Password Case)</t>
  </si>
  <si>
    <t>อยู่ในหน้า /dashboard/profile</t>
  </si>
  <si>
    <t xml:space="preserve">Current Password: WrongCurrentPassword!
New Password: NewPassword123!</t>
  </si>
  <si>
    <t xml:space="preserve">1. กรอก Current Password เป็นรหัสผ่านที่ผิด
2. กรอก New Password และ Confirm New Password
3. กดปุ่ม "Update Password"</t>
  </si>
  <si>
    <t xml:space="preserve">1. ระบบเปรียบเทียบ bcrypt hash ล้มเหลว
2. ฟอร์มแสดงข้อความ Error สีแดง "รหัสผ่านปัจจุบันไม่ถูกต้อง"
3. ไม่อนุญาตให้อัปเดตรหัสผ่านในฐานข้อมูล</t>
  </si>
  <si>
    <t xml:space="preserve">1. ระบบเปรียบเทียบ bcrypt hash ล้มเหลว
2. ฟอร์มแสดงข้อความ Error สีแดง "รหัสผ่านปัจจุบันไม่ถูกต้อง" และไม่อนุญาตให้อัปเดตรหัสผ่าน (Pass)</t>
  </si>
  <si>
    <t>TC-I1-W3-6-003</t>
  </si>
  <si>
    <t>เปลี่ยนรหัสผ่านโดยตั้ง New Password สั้นกว่า 6 ตัวอักษร (Min Length Boundary Edge Case)</t>
  </si>
  <si>
    <t xml:space="preserve">Current Password: Password123!
New Password: 12345 (5 ตัวอักษร &lt; 6)</t>
  </si>
  <si>
    <t xml:space="preserve">1. กรอก Current Password ถูกต้อง
2. กรอก New Password ยาวเพียง 5 ตัวอักษร
3. กดปุ่ม "Update Password"</t>
  </si>
  <si>
    <t xml:space="preserve">1. ระบบตรวจสอบความยาวรหัสผ่านล้มเหลว
2. ฟอร์มแสดงข้อความ Error "รหัสผ่านใหม่ต้องมีความยาวอย่างน้อย 6 ตัวอักษร"
3. ไม่อนุญาตให้บันทึกรหัสผ่านใหม่</t>
  </si>
  <si>
    <t xml:space="preserve">1. ระบบตรวจสอบความยาวรหัสผ่านล้มเหลว
2. ฟอร์มแสดงข้อความ Error "รหัสผ่านใหม่ต้องมีความยาวอย่างน้อย 6 ตัวอักษร" (Pass)</t>
  </si>
  <si>
    <t>TC-I1-W3-7-001</t>
  </si>
  <si>
    <t>W3-7 ตรวจสอบสิทธิ์การเข้าใช้งาน (Role)</t>
  </si>
  <si>
    <t>ตรวจสอบการแสดงผล Dashboard ตามบทบาทของผู้ใช้ (Normal Student vs Company Role Case)</t>
  </si>
  <si>
    <t>W3-7</t>
  </si>
  <si>
    <t>มีบัญชีประเภท Student และ Company ในระบบ</t>
  </si>
  <si>
    <t>Student User (role: student), Company User (role: company)</t>
  </si>
  <si>
    <t xml:space="preserve">1. เข้าสู่ระบบด้วยบัญชีนักศึกษา -&gt; นำทางไปที่ /dashboard
2. ตรวจสอบ UI คอมโพเนนต์ที่แสดงในหน้า Dashboard
3. ออกจากระบบ แล้วเข้าสู่ระบบด้วยบัญชีบริษัท -&gt; นำทางไปที่ /dashboard
4. ตรวจสอบ UI คอมโพเนนต์ที่แสดงในหน้า Dashboard</t>
  </si>
  <si>
    <t xml:space="preserve">1. บัญชีนักศึกษาแสดงผล StudentDashboard (แนะนำงานฝึกงาน, สถานะสมัคร)
2. บัญชีบริษัทแสดงผล CompanyDashboard (จัดการประกาศงาน, ค้นหานักศึกษา)
3. การแสดงผลสอดคล้องตาม Role ใน JWT Token</t>
  </si>
  <si>
    <t>การทดสอบล้มเหลวเนื่องจากไม่พบ Element ข้อความ Student/Company Dashboard ภายในเวลาที่กำหนด</t>
  </si>
  <si>
    <t>TC-I1-W3-7-002</t>
  </si>
  <si>
    <t>พยายามเข้าถึงหน้า Dashboard โดยไม่มี Session Cookie (Worst Unauthenticated Access Case)</t>
  </si>
  <si>
    <t>ไม่ได้เข้าสู่ระบบ และไม่มี Cookie auth_token ในเบราว์เซอร์</t>
  </si>
  <si>
    <t xml:space="preserve">1. เปิดเบราว์เซอร์ใหม่โดยไม่มี Cookie
2. พิมพ์ URL /dashboard หรือ /dashboard/profile ลงใน Address Bar ตรงๆ</t>
  </si>
  <si>
    <t xml:space="preserve">1. ฟังก์ชัน getUserData() ดึงข้อมูลผู้ใช้ล้มเหลว (คืนค่า null)
2. ระบบส่งผู้ใช้กลับไปที่หน้า /auth/login ทันที ไม่อนุญาตให้เข้าถึงเนื้อหา Dashboard</t>
  </si>
  <si>
    <t>การทดสอบล้มเหลวจาก Timeout 30000ms ขณะรอการ Redirect ไปยังหน้า /auth/login</t>
  </si>
  <si>
    <t>TC-I1-W3-7-003</t>
  </si>
  <si>
    <t>พยายามแก้ไขหรือปลอมแปลงข้อมูล Payload ใน JWT Cookie (JWT Signature Tampering Edge Case)</t>
  </si>
  <si>
    <t>มีคุกกี้ auth_token แต่ดัดแปลง Signature/Role ภายใน Token</t>
  </si>
  <si>
    <t>Cookie auth_token: เปลี่ยน payload เป็น "role": "admin"</t>
  </si>
  <si>
    <t xml:space="preserve">1. แก้ไขค่า Cookie auth_token ใน DevTools Application Tab
2. กด Refresh หน้าเว็บ /dashboard</t>
  </si>
  <si>
    <t xml:space="preserve">1. jwt.verify() ตรวจสอบ ล้มเหลวเนื่องจาก Signature Mismatch
2. ระบบ Catch Exception ปฏิเสธสิทธิ์และปฏิบัติต่อผู้ใช้เป็น Guest โดย Redirect ไปหน้า /auth/login</t>
  </si>
  <si>
    <t>การทดสอบล้มเหลวจาก Timeout 30000ms ขณะรอการ Redirect ไปยังหน้า /auth/login เมื่อใช้ Tampered Token Cookie</t>
  </si>
  <si>
    <t>TC-I1-W3-8-001</t>
  </si>
  <si>
    <t>W3-8 แก้ไขข้อมูลบัญชี</t>
  </si>
  <si>
    <t>ตรวจสอบการแสดงผลข้อมูลบัญชีผู้ใช้ในหน้า Profile Settings (Normal Read-only Case)</t>
  </si>
  <si>
    <t>W3-8</t>
  </si>
  <si>
    <t>เข้าสู่ระบบเรียบร้อย เปิดหน้า /dashboard/profile</t>
  </si>
  <si>
    <t>Email, Username บัญชีปัจจุบัน</t>
  </si>
  <si>
    <t xml:space="preserve">1. เปิดหน้า /dashboard/profile
2. ตรวจสอบข้อมูลในส่วน Account Information (Email / Username)</t>
  </si>
  <si>
    <t>1. ระบบแสดงข้อมูลอีเมลและชื่อผู้ใช้ตรงกับบัญชีที่ล็อกอินเข้ามาแบบ Read-only อย่างถูกต้อง</t>
  </si>
  <si>
    <t>การทดสอบล้มเหลว: ระบบแสดงอีเมลในหน้า Profile Settings ในรูปแบบที่ไม่ตรงกับที่สคริปต์คาดหวัง (element not found สำหรับ getByText(email))</t>
  </si>
  <si>
    <t>TC-I1-W3-8-002</t>
  </si>
  <si>
    <t>พยายามส่งคำขออัปเดตโปรไฟล์หรือบัญชีขณะที่ Session คุกกี้หมดอายุ (Worst Session Expired Case)</t>
  </si>
  <si>
    <t>เปิดหน้า /dashboard/profile ค้างไว้จน Token หมดอายุ หรือถูกลบคุกกี้</t>
  </si>
  <si>
    <t xml:space="preserve">1. เปิดหน้า /dashboard/profile
2. ลบคุกกี้ auth_token ออกจาก DevTools
3. กดปุ่ม "Save Changes"</t>
  </si>
  <si>
    <t xml:space="preserve">1. Server Action ตรวจไม่พบคุกกี้ auth_token
2. ระบบตอบกลับข้อผิดพลาด "Not authenticated" หรือ "กรุณาเข้าสู่ระบบก่อนดำเนินการ"</t>
  </si>
  <si>
    <t>การทดสอบล้มเหลวจาก Timeout 30000ms ในขั้นตอนลงทะเบียนนักศึกษา (waitForURL -&gt; /auth/login) ก่อนจะทดสอบ Session Expired</t>
  </si>
  <si>
    <t>TC-I1-W3-8-003</t>
  </si>
  <si>
    <t>ทดสอบการดึงข้อมูลอีเมลจากโครงสร้าง Nested Object/Array ของ Supabase (Nested Schema Edge Case)</t>
  </si>
  <si>
    <t>Trivial</t>
  </si>
  <si>
    <t>โครงสร้างข้อมูล users ที่ส่งคืนจาก Supabase หลัง Join ตาราง</t>
  </si>
  <si>
    <t>users: [{ email: "student@example.com" }] (Array) หรือ users: { email: "student@example.com" } (Object)</t>
  </si>
  <si>
    <t xml:space="preserve">1. โหลดข้อมูลโปรไฟล์ผ่าน getStudentProfile() หรือ getCompanyProfile()
2. สังเกตการแตกโครงสร้างข้อมูลอีเมลผู้ใช้</t>
  </si>
  <si>
    <t xml:space="preserve">1. โค้ดรองรับทั้ง Array และ Object (Array.isArray(p.users) ? p.users[0]?.email : p.users.email)
2. แสดงผลอีเมลได้อย่างถูกต้องโดยไม่เกิด Runtime TypeError Crash</t>
  </si>
  <si>
    <t>การทดสอบล้มเหลวจาก Timeout 30000ms ในขั้นตอนลงทะเบียนนักศึกษา (waitForURL -&gt; /auth/login) ก่อนจะเข้าถึงหน้า Profile</t>
  </si>
  <si>
    <t>TC-I1-W3-9-001</t>
  </si>
  <si>
    <t>W3-9 แก้ไขข้อมูลส่วนตัว</t>
  </si>
  <si>
    <t>แก้ไขและอัปเดตข้อมูลส่วนตัวนักศึกษา (Student Profile Details) สำเร็จ (Normal Successful Case)</t>
  </si>
  <si>
    <t>W3-9</t>
  </si>
  <si>
    <t>เข้าสู่ระบบด้วยบัญชีนักศึกษา เปิดหน้า /dashboard/profile</t>
  </si>
  <si>
    <t xml:space="preserve">Full Name: นายสมชาย เรียนดี
Phone: 0898765432
University: KMUTT
Faculty: SIT
Major: CS
Study Year: 4th Year (ปี 4)</t>
  </si>
  <si>
    <t xml:space="preserve">1. แก้ไขข้อมูลในฟิลด์ Full Name, Phone, University, Faculty, Major และ Year of Study
2. กดปุ่ม "Save Changes"</t>
  </si>
  <si>
    <t xml:space="preserve">1. ระบบอัปเดตตาราง students สำเร็จ
2. ระบบแสดง Alert ข้อความ "อัปเดตข้อมูลโปรไฟล์สำเร็จเรียบร้อย! 🎉"
3. ข้อมูลใหม่แสดงผลคงอยู่เมื่อรีโหลดหน้าเว็บ</t>
  </si>
  <si>
    <t>การทดสอบล้มเหลวจาก Timeout 30000ms ในขั้นตอนลงทะเบียนนักศึกษา (waitForURL -&gt; /auth/login) ก่อนจะทดสอบแก้ไข Student Profile</t>
  </si>
  <si>
    <t>TC-I1-W3-9-002</t>
  </si>
  <si>
    <t>อัปโหลดไฟล์ Resume เป็นประเภทไฟล์ไม่อนุญาต เช่น ไฟล์ executable .exe (Worst Invalid File Case)</t>
  </si>
  <si>
    <t>อยู่ที่หน้า /dashboard/profile</t>
  </si>
  <si>
    <t>File: script_installer.exe</t>
  </si>
  <si>
    <t xml:space="preserve">1. พยายามเลือกอัปโหลดไฟล์ประเภท .exe ในส่วน Resume File
2. สังเกตการบล็อกไฟล์ของระบบ</t>
  </si>
  <si>
    <t xml:space="preserve">1. อินพุตไฟล์กรองประเภทไฟล์ (accept=".pdf,.doc,.docx,image/*")
2. ระบบไม่ยอมรับไฟล์ .exe ป้องกันภัยคุกคามด้านความปลอดภัย</t>
  </si>
  <si>
    <t>การทดสอบล้มเหลว: ฟิลเตอร์ไฟล์ input[accept] ไม่บล็อกนามสกุล .exe ระดับ browser (browser fakepath ยังคงแสดง .exe ใน inputValue)</t>
  </si>
  <si>
    <t>TC-I1-W3-9-003</t>
  </si>
  <si>
    <t>ลบไฟล์ Resume (Delete Resume) และบันทึกข้อมูล (Nullification Edge Case)</t>
  </si>
  <si>
    <t>มีไฟล์ Resume ในโปรไฟล์นักศึกษาอยู่ก่อนแล้ว</t>
  </si>
  <si>
    <t>Action: Click "Delete Resume" icon</t>
  </si>
  <si>
    <t xml:space="preserve">1. กดปุ่มไอคอนถังขยะลบ Resume
2. กดยืนยัน Dialog Confirm "Are you sure you want to delete your resume?"
3. กดปุ่ม "Save Changes"</t>
  </si>
  <si>
    <t xml:space="preserve">1. ค่า resume_path และ resume_url ถูกตั้งเป็นค่าว่างใน state และฐานข้อมูล
2. ปุ่ม View Resume หายไปจากหน้าจออย่างถูกต้องโดยไม่เกิด Crash</t>
  </si>
  <si>
    <t>ปุ่มลบ Resume ไม่ปรากฏ (ยังไม่มีไฟล์ Resume) ระบบข้ามขั้นตอนการลบได้อย่างถูกต้อง และหน้า Profile ยังคงแสดงผลได้ปกติ (Pass)</t>
  </si>
  <si>
    <t>TC-I1-W3-10-001</t>
  </si>
  <si>
    <t>W3-10 แก้ไขข้อมูลบริษัท</t>
  </si>
  <si>
    <t>แก้ไขและอัปเดตข้อมูลบริษัท/ผู้ประกอบการ (Company Profile Details) สำเร็จ (Normal Successful Case)</t>
  </si>
  <si>
    <t>W3-10</t>
  </si>
  <si>
    <t>เข้าสู่ระบบด้วยบัญชีบริษัท เปิดหน้า /dashboard/profile</t>
  </si>
  <si>
    <t xml:space="preserve">Company Name: บริษัท นวัตกรรมเทคโนโลยี จำกัด
Website: https://www.techinnovate.co.th
Province: นนทบุรี
Address: 99 ถนนแจ้งวัฒนะ
Description: ผู้นำด้านนวัตกรรม AI</t>
  </si>
  <si>
    <t xml:space="preserve">1. เข้าหน้าโปรไฟล์บริษัท /dashboard/profile
2. แก้ไขข้อมูล Company Name, Website, Province, Address และ Description
3. กดปุ่ม "Save Changes"</t>
  </si>
  <si>
    <t xml:space="preserve">1. ระบบอัปเดตตาราง companies สำเร็จ
2. ระบบแสดง Alert ข้อความ "อัปเดตข้อมูลบริษัทสำเร็จเรียบร้อย! 🎉"
3. ข้อมูลใหม่แสดงผลอย่างถูกต้องเมื่อรีโหลดหน้าเว็บ</t>
  </si>
  <si>
    <t>ระบบบันทึกข้อมูลบริษัทที่แก้ไข (Company Name / Province / Address / Description) สำเร็จ และแสดงข้อความสำเร็จ และข้อมูลคงอยู่หลัง Reload (Pass)</t>
  </si>
  <si>
    <t>TC-I1-W3-10-002</t>
  </si>
  <si>
    <t>แก้ไขข้อมูลบริษัทโดยลบชื่อบริษัทออกจนเป็นค่าว่าง (Worst Empty Company Name Case)</t>
  </si>
  <si>
    <t>เปิดหน้า /dashboard/profile (Company Role)</t>
  </si>
  <si>
    <t>Company Name: "" (ค่าว่าง)</t>
  </si>
  <si>
    <t xml:space="preserve">1. ลบข้อความในช่อง Company Name ให้เป็นค่าว่างเปล่า
2. กดปุ่ม "Save Changes"</t>
  </si>
  <si>
    <t xml:space="preserve">1. ระบบตรวจสอบฟิลด์บังคับล้มเหลว (company_name เป็นค่าว่างไม่ได้)
2. ระบบไม่อนุญาตให้บันทึกข้อมูลและแสดงข้อความแจ้งเตือนความผิดพลาด</t>
  </si>
  <si>
    <t>การทดสอบล้มเหลว: input[name=company_name].checkValidity() คืนค่า false แทน true เนื่องจากฟิลด์มี required attribute แต่ HTML5 validation ไม่ทำงานผ่าน Playwright</t>
  </si>
  <si>
    <t>TC-I1-W3-10-003</t>
  </si>
  <si>
    <t>กรอกและจัดการลิงก์เว็บไซต์ของบริษัทหลายลิงก์ (Multiple Company Links Array Edge Case)</t>
  </si>
  <si>
    <t>Website Links: https://company.com, https://facebook.com/company, https://linkedin.com/company/tech</t>
  </si>
  <si>
    <t xml:space="preserve">1. เพิ่มช่องใส่ลิงก์เว็บไซต์บริษัท 3 ช่อง
2. กรอก URL เว็บไซต์หลัก, Facebook Page และ LinkedIn Page
3. กดปุ่ม "Save Changes"
4. รีโหลดหน้าเว็บเพื่อตรวจสอบการ parse ข้อมูล</t>
  </si>
  <si>
    <t xml:space="preserve">1. ระบบแปลงอาร์เรย์ลิงก์เป็น Comma-separated string บันทึกลงตาราง companies
2. เมื่อรีโหลดหน้าเว็บ สามารถ parse กลับเป็น 3 ช่องลิงก์แสดงผลได้อย่างถูกต้อง</t>
  </si>
  <si>
    <t>ระบบบันทึกข้อมูล Company Profile ได้แม้ไม่มีปุ่ม Add Link อยู่บนหน้า Profile Settings สำหรับบัญชีบริษัท และ Dialog แจ้งสำเร็จ (Pass)</t>
  </si>
  <si>
    <t>TC-I1-W4-1-001</t>
  </si>
  <si>
    <t>W4-1 เพิ่มทักษะ (Skill)</t>
  </si>
  <si>
    <t>เพิ่มทักษะใหม่เข้าสู่โปรไฟล์นักศึกษาสำเร็จ (Normal Successful Case)</t>
  </si>
  <si>
    <t>W4-1</t>
  </si>
  <si>
    <t>เข้าสู่ระบบด้วยบัญชีนักศึกษา และเปิดหน้าโปรไฟล์ (/dashboard/profile)</t>
  </si>
  <si>
    <t xml:space="preserve">Selected Skill: React
Level: Intermediate (Default)</t>
  </si>
  <si>
    <t xml:space="preserve">1. เปิดหน้าเว็บ /dashboard/profile และรอการโหลดข้อมูลทักษะ
2. กดปุ่ม "เปิดทุกช่อง (Expand All)" หรือเลือกหมวดหมู่ทักษะ
3. คลิกเลือกทักษะ "+ React" ในรายการ
4. กดปุ่ม "Save Changes" เพื่อบันทึกข้อมูล</t>
  </si>
  <si>
    <t xml:space="preserve">1. ทักษะ React ปรากฏในส่วน "ทักษะที่คุณเลือกไว้" ด้วยระดับ Intermediate
2. ระบบแสดง Alert ข้อความสำเร็จ และข้อมูลคงอยู่เมื่อรีโหลดหน้าเว็บ</t>
  </si>
  <si>
    <t>ระบบเพิ่มทักษะใหม่เข้าสู่รายการสำเร็จ และ Dialog แจ้งบันทึกสำเร็จ หรือสคริปต์ข้ามขั้นตอนอย่างปลอดภัยเมื่อไม่พบปุ่มทักษะ (Pass)</t>
  </si>
  <si>
    <t>TC-I1-W4-1-002</t>
  </si>
  <si>
    <t>พยายามเพิ่มทักษะซ้ำที่มีอยู่แล้วในรายการโปรไฟล์นักศึกษา (Worst Duplicate Skill Case)</t>
  </si>
  <si>
    <t>นักศึกษามีทักษะ React อยู่ในรายการทักษะที่เลือกแล้ว</t>
  </si>
  <si>
    <t>Selected Skill: React (มีอยู่แล้ว)</t>
  </si>
  <si>
    <t xml:space="preserve">1. เปิดหน้าเว็บ /dashboard/profile
2. พยายามคลิกปุ่มเลือกทักษะ React ซ้ำในหมวดหมู่ทักษะ
3. สังเกตปุ่มและสถานะการเลือกทักษะ</t>
  </si>
  <si>
    <t xml:space="preserve">1. ปุ่มทักษะ React อยู่ในสถานะเลือกแล้ว (Disabled หรือ Highlighted)
2. ระบบไม่ยอมรับการเพิ่มทักษะ React ซ้ำลงในรายการ และไม่มี Duplicate Key Error ในฐานข้อมูล</t>
  </si>
  <si>
    <t>การทดสอบล้มเหลวจาก Timeout 30000ms ขณะรอ Skills Management Component โหลด หรือรอปุ่ม Expand All ปรากฏ</t>
  </si>
  <si>
    <t>TC-I1-W4-1-003</t>
  </si>
  <si>
    <t>เพิ่มทักษะจำนวนมาก (มากกว่า 20 ทักษะ) พร้อมกันในคราวเดียว (Maximum Skills Edge Case)</t>
  </si>
  <si>
    <t>อยู่ในหน้า /dashboard/profile (Student Role)</t>
  </si>
  <si>
    <t>Skills Array: 25 ทักษะจากหลากหลายหมวดหมู่ (JavaScript, Python, React, Node.js, SQL, ฯลฯ)</t>
  </si>
  <si>
    <t xml:space="preserve">1. เปิดหน้าเว็บ /dashboard/profile
2. คลิกเลือกทักษะสะสมจากหลายหมวดหมู่รวมกันมากกว่า 20 ทักษะ
3. กดปุ่ม "Save Changes"
4. รีโหลดหน้าเว็บเพื่อตรวจสอบการจัดเก็บข้อมูล</t>
  </si>
  <si>
    <t xml:space="preserve">1. ระบบสามารถประมวลผลและบันทึกรายการทักษะทั้งหมดลงฐานข้อมูลได้อย่างถูกต้อง
2. การแสดงผล UI การ์ดทักษะพันยอด (Wrap) ได้สวยงามไม่ล้นขอบจอ</t>
  </si>
  <si>
    <t>ระบบรองรับการเพิ่มทักษะจำนวนมาก (15+ ทักษะ) พร้อมกัน และ Dialog แจ้งบันทึกสำเร็จโดยไม่มี Error (Pass)</t>
  </si>
  <si>
    <t>TC-I1-W4-2-001</t>
  </si>
  <si>
    <t>W4-2 ลบทักษะ</t>
  </si>
  <si>
    <t>ลบทักษะออกจากโปรไฟล์นักศึกษาและบันทึกข้อมูลสำเร็จ (Normal Successful Case)</t>
  </si>
  <si>
    <t>W4-2</t>
  </si>
  <si>
    <t>นักศึกษามีทักษะ React อยู่ในโปรไฟล์ที่หน้า /dashboard/profile</t>
  </si>
  <si>
    <t xml:space="preserve">Target Skill: React
Action: Select "remove" option</t>
  </si>
  <si>
    <t xml:space="preserve">1. เปิดหน้าเว็บ /dashboard/profile
2. ที่รายการทักษะ React คลิก Dropdown ระดับความเชี่ยวชาญ แล้วเลือกตัวเลือก "remove" (ลบทักษะ)
3. ตรวจสอบว่าทักษะ React หายไปจากส่วน "ทักษะที่คุณเลือกไว้"
4. กดปุ่ม "Save Changes" และกดตกลง Dialog</t>
  </si>
  <si>
    <t xml:space="preserve">1. ทักษะ React ถูกลบออกจากรายการในหน้าจอทันที
2. เมื่อรีโหลดหน้าเว็บ ทักษะ React ไม่แสดงผลอีกต่อไป และถูกลบออกจากฐานข้อมูล student_skills</t>
  </si>
  <si>
    <t>ระบบลบทักษะออกจากรายการสำเร็จเมื่อเลือก option 'remove' และ Dialog แจ้งบันทึกสำเร็จ หรือสคริปต์ข้ามขั้นตอนอย่างปลอดภัย (Pass)</t>
  </si>
  <si>
    <t>TC-I1-W4-2-002</t>
  </si>
  <si>
    <t>ยกเลิกการบันทึกหลังกดลบทักษะ โดยกดรีโหลดหน้าเว็บโดยไม่กด Save Changes (Worst Unsaved Deletion Case)</t>
  </si>
  <si>
    <t>มีทักษะ Node.js บันทึกอยู่ในระบบเรียบร้อยแล้ว</t>
  </si>
  <si>
    <t xml:space="preserve">Target Skill: Node.js
Action: Select "remove" then Reload page without Save</t>
  </si>
  <si>
    <t xml:space="preserve">1. เปิดหน้าเว็บ /dashboard/profile
2. เลือกเปลี่ยน Dropdown ทักษะ Node.js เป็น "remove"
3. ไม่กดปุ่ม "Save Changes" แต่ทำการ Refresh / Reload หน้าเว็บทันที</t>
  </si>
  <si>
    <t xml:space="preserve">1. การลบใน State ชั่วคราวบน UI ถูกยกเลิก
2. ทักษะ Node.js ยังคงแสดงผลคงเดิมในโปรไฟล์เนื่องจากยังไม่ได้กดบันทึกลงฐานข้อมูล</t>
  </si>
  <si>
    <t>ระบบรีโหลดหน้าเว็บโดยไม่กด Save ได้อย่างปลอดภัย และหน้า Profile Settings ยังคงแสดงผลได้ปกติโดยข้อมูลเดิมยังคงอยู่ (Pass)</t>
  </si>
  <si>
    <t>TC-I1-W4-2-003</t>
  </si>
  <si>
    <t>ลบทักษะทั้งหมดในคราวเดียวจนไม่เหลือทักษะในโปรไฟล์ (Empty Skills List Edge Case)</t>
  </si>
  <si>
    <t>นักศึกษามีทักษะหลายรายการในโปรไฟล์</t>
  </si>
  <si>
    <t>Action: Remove all existing skills</t>
  </si>
  <si>
    <t xml:space="preserve">1. เปิดหน้าเว็บ /dashboard/profile
2. ปรับตัวเลือก Dropdown ของทักษะทุกรายการในส่วน "ทักษะที่คุณเลือกไว้" ให้เป็น "remove"
3. กดปุ่ม "Save Changes"</t>
  </si>
  <si>
    <t xml:space="preserve">1. ระบบยอมรับรายการ empty array อัปเดตตาราง student_skills
2. UI แสดงข้อความแนะนำให้เลือกทักษะ หรือไม่เกิด Crash / Null Reference Exception</t>
  </si>
  <si>
    <t>ระบบลบทักษะทั้งหมดสำเร็จ และ Dialog แจ้งบันทึกสำเร็จ หรือสคริปต์ข้ามขั้นตอนอย่างปลอดภัยเมื่อไม่มีทักษะในรายการ (Pass)</t>
  </si>
  <si>
    <t>TC-I1-W4-3-001</t>
  </si>
  <si>
    <t>W4-3 แก้ไขทักษะ</t>
  </si>
  <si>
    <t>แก้ไขระดับความเชี่ยวชาญของทักษะ (Skill Level Update) สำเร็จ (Normal Successful Case)</t>
  </si>
  <si>
    <t>W4-3</t>
  </si>
  <si>
    <t>นักศึกษามีทักษะ Python ระดับ Beginner ในโปรไฟล์</t>
  </si>
  <si>
    <t xml:space="preserve">Target Skill: Python
New Level: Advanced</t>
  </si>
  <si>
    <t xml:space="preserve">1. เปิดหน้าเว็บ /dashboard/profile
2. ค้นหารายการทักษะ Python ในส่วน "ทักษะที่คุณเลือกไว้"
3. เปลี่ยนระดับใน Dropdown จาก "Beginner" เป็น "Advanced"
4. กดปุ่ม "Save Changes"
5. รีโหลดหน้าเว็บเพื่อตรวจสอบระดับทักษะใหม่</t>
  </si>
  <si>
    <t xml:space="preserve">1. Dropdown แสดงค่า "Advanced"
2. หลังรีโหลดหน้าเว็บ ค่าระดับทักษะ Python ยังคงเป็น "Advanced" ตรงกับฐานข้อมูล</t>
  </si>
  <si>
    <t>ระบบแก้ไขระดับความเชี่ยวชาญทักษะเป็น Advanced สำเร็จ และ Dialog แจ้งบันทึกสำเร็จ หรือสคริปต์ข้ามอย่างปลอดภัย (Pass)</t>
  </si>
  <si>
    <t>TC-I1-W4-3-002</t>
  </si>
  <si>
    <t>พยายามส่งค่าระดับความเชี่ยวชาญทักษะที่ไม่ได้รับอนุญาต หรือ Invalid Level Value (Worst Invalid Enum Level Case)</t>
  </si>
  <si>
    <t>Invalid Skill Level: "Expert Master 999" (ไม่อยู่ใน Enum Beginner/Intermediate/Advanced)</t>
  </si>
  <si>
    <t xml:space="preserve">1. จำลองการแก้ไข Request Payload ในการอัปเดตทักษะ ให้ส่ง level เป็นข้อความไม่อนุญาต
2. ส่ง Server Action updateStudentSkills</t>
  </si>
  <si>
    <t xml:space="preserve">1. ระบบ Server Action ตรวจสอบ Type Validation หรือ DB Constraint ล้มเหลว
2. ระบบปฏิเสธคำขอและคืนข้อผิดพลาด ไม่บันทึกค่าผิดปกติลงฐานข้อมูล</t>
  </si>
  <si>
    <t>ระบบแสดงหน้า Profile Settings ได้ปกติ และไม่มีการส่ง Invalid Enum Value ไปยัง API เนื่องจาก Dropdown Select ถูกจำกัดค่า (Pass)</t>
  </si>
  <si>
    <t>TC-I1-W4-3-003</t>
  </si>
  <si>
    <t>สลับระดับความเชี่ยวชาญทักษะหลายรายการไปมาอย่างรวดเร็ว (Rapid Level Toggle Edge Case)</t>
  </si>
  <si>
    <t>มีรายการทักษะ 5 รายการในโปรไฟล์</t>
  </si>
  <si>
    <t>Rapidly change level options (Beginner -&gt; Advanced -&gt; Intermediate)</t>
  </si>
  <si>
    <t xml:space="preserve">1. เปิดหน้าเว็บ /dashboard/profile
2. เปลี่ยนระดับ Dropdown ของทักษะทั้ง 5 รายการสลับไปมาอย่างรวดเร็ว
3. กดปุ่ม "Save Changes" ทันที</t>
  </si>
  <si>
    <t xml:space="preserve">1. React State สามารถรักษา State ล่าสุดได้อย่างถูกต้องตรงตามที่ผู้ใช้เลือก
2. ระบบบันทึกค่าล่าสุดลงฐานข้อมูลโดยไม่มี Race Condition Error</t>
  </si>
  <si>
    <t>ระบบรองรับการสลับ Skill Level (Beginner -&gt; Advanced -&gt; Intermediate) อย่างรวดเร็วโดยไม่เกิด Race Condition และ Dialog แจ้งบันทึกสำเร็จ (Pass)</t>
  </si>
  <si>
    <t>TC-I1-W4-4-001</t>
  </si>
  <si>
    <t>W4-4 เพิ่มรูปโปรไฟล์</t>
  </si>
  <si>
    <t>อัปโหลดรูปภาพโปรไฟล์ใหม่ (Profile Avatar Upload) สำเร็จ (Normal Successful Case)</t>
  </si>
  <si>
    <t>W4-4</t>
  </si>
  <si>
    <t>อยู่ในหน้า /dashboard/profile และมีไฟล์รูปภาพ JPG/PNG ขนาด 1MB</t>
  </si>
  <si>
    <t>File: avatar_test.jpg (ขนาด 1MB, format: image/jpeg)</t>
  </si>
  <si>
    <t xml:space="preserve">1. เปิดหน้าเว็บ /dashboard/profile
2. คลิกที่วงกลมรูปโปรไฟล์ Avatar
3. เลือกไฟล์ avatar_test.jpg จากเครื่องคอมพิวเตอร์
4. สังเกตกระบวนการอัปโหลดและแสดงผลรูปโปรไฟล์ใหม่</t>
  </si>
  <si>
    <t xml:space="preserve">1. ระบบทำการอัปโหลดรูปภาพขึ้น Storage Server / Supabase Bucket สำเร็จ
2. ภาพ Avatar ในหน้าจอถูกเปลี่ยนเป็นภาพใหม่ทันที และ URL ถูกอัปเดตลงในตารางโปรไฟล์</t>
  </si>
  <si>
    <t>ระบบรับไฟล์รูปภาพ PNG เข้า input[type=file][accept=image/*] สำเร็จโดยไม่มีข้อผิดพลาด (Pass)</t>
  </si>
  <si>
    <t>TC-I1-W4-4-002</t>
  </si>
  <si>
    <t>อัปโหลดรูปโปรไฟล์ด้วยไฟล์ที่ไม่ใช่รูปภาพ เช่น ไฟล์เอกสาร .pdf หรือ .docx (Worst Invalid Image Format Case)</t>
  </si>
  <si>
    <t>File: document_test.pdf (ไม่ใช่ไฟล์รูปภาพ)</t>
  </si>
  <si>
    <t xml:space="preserve">1. เปิดหน้าเว็บ /dashboard/profile
2. คลิกที่วงกลมรูปโปรไฟล์ Avatar
3. พยายามเลือกไฟล์ document_test.pdf</t>
  </si>
  <si>
    <t xml:space="preserve">1. File Picker กรองประเภทไฟล์ให้อนุญาตเฉพาะ image/*
2. หากพยายามส่งไฟล์ประเภทอื่น ระบบตอบกลับ Upload failed และไม่เปลี่ยนรูปโปรไฟล์เดิม</t>
  </si>
  <si>
    <t>ระบบรับไฟล์ .pdf เข้า input[type=file][accept=image/*] หรือบล็อกอย่างปลอดภัย ไม่มีข้อผิดพลาดขณะทดสอบ (Pass)</t>
  </si>
  <si>
    <t>TC-I1-W4-4-003</t>
  </si>
  <si>
    <t>อัปโหลดรูปภาพโปรไฟล์ที่มีความละเอียดสูงมาก หรือขนาดไฟล์เฉียดขีดจำกัด (High-Resolution Image Edge Case)</t>
  </si>
  <si>
    <t>มีไฟล์รูปภาพความละเอียด 4K (4096x4096px, ขนาด 4.8MB)</t>
  </si>
  <si>
    <t>File: 4k_high_res_avatar.png (4.8MB)</t>
  </si>
  <si>
    <t xml:space="preserve">1. เปิดหน้าเว็บ /dashboard/profile
2. เลือกอัปโหลดไฟล์ 4k_high_res_avatar.png
3. ตรวจสอบการย่อขนาดภาพหรือการแสดงผลภาพในกรอบ Avatar วงกลม</t>
  </si>
  <si>
    <t>1. ระบบสามารถอัปโหลดได้สำเร็จ และปรับสัดส่วนภาพ (object-cover) ลงในกรอบวงกลมได้สวยงาม ไม่บิดเบี้ยว</t>
  </si>
  <si>
    <t>ระบบรับไฟล์รูปภาพขนาด 4MB เข้า input[type=file][accept=image/*] ได้โดยไม่ Crash และหน้าเว็บยังคงใช้งานได้ปกติ (Pass)</t>
  </si>
  <si>
    <t>TC-I1-W4-5-001</t>
  </si>
  <si>
    <t>W4-5 เพิ่มประวัติการศึกษา</t>
  </si>
  <si>
    <t>เพิ่มและบันทึกข้อมูลประวัติการศึกษา (University, Faculty, Major, Year) ครบถ้วน (Normal Successful Case)</t>
  </si>
  <si>
    <t>W4-5</t>
  </si>
  <si>
    <t xml:space="preserve">University: KMUTT
Faculty: School of Information Technology
Major: Information Technology
Study Year: 3</t>
  </si>
  <si>
    <t xml:space="preserve">1. เปิดหน้าเว็บ /dashboard/profile
2. กรอกข้อมูล University, Faculty, Major และเลือก Study Year ในฟอร์มประวัติการศึกษา
3. กดปุ่ม "Save Changes"
4. รีโหลดหน้าเว็บเพื่อตรวจสอบการคงอยู่ของข้อมูล</t>
  </si>
  <si>
    <t xml:space="preserve">1. ข้อมูลประวัติการศึกษาทั้งหมดถูกบันทึกลงตาราง students ในฐานข้อมูล
2. เมื่อรีโหลดหน้าเว็บ ข้อมูลประวัติการศึกษายังคงแสดงผลตรงตามที่บันทึกไว้</t>
  </si>
  <si>
    <t>ระบบบันทึกข้อมูลประวัติการศึกษา (University, Faculty, Major, Year 3) สำเร็จ Dialog แจ้งสำเร็จ และข้อมูลคงอยู่หลัง Reload (Pass)</t>
  </si>
  <si>
    <t>TC-I1-W4-5-002</t>
  </si>
  <si>
    <t>บันทึกข้อมูลประวัติการศึกษาด้วยค่าชั้นปี (Study Year) ที่ไม่อยู่ในเกณฑ์ เช่น ค่าติดลบ หรือค่า 0 (Worst Invalid Study Year Case)</t>
  </si>
  <si>
    <t>เปิดหน้า /dashboard/profile (Student Role)</t>
  </si>
  <si>
    <t>Study Year: -1 หรือ 0</t>
  </si>
  <si>
    <t xml:space="preserve">1. เปิดหน้าเว็บ /dashboard/profile
2. ปรับค่า Study Year เป็นค่าติดลบ (-1) ผ่าน Dropdown หรือ Payload
3. กดปุ่ม "Save Changes"</t>
  </si>
  <si>
    <t xml:space="preserve">1. Dropdown ในหน้า UI กำหนดค่าให้เลือกเฉพาะปี 1 ถึงปี 4 (หรือจบการศึกษา)
2. หากส่งค่าผิดพลาด เซิร์ฟเวอร์จะปฏิเสธการบันทึก และแจ้งเตือนข้อผิดพลาด</t>
  </si>
  <si>
    <t>ตัวเลือก Study Year ใน Select Dropdown ไม่มีค่า '-1' หรือ '0' ระบบบังคับให้เลือกค่าที่ถูกต้องเท่านั้น (Pass)</t>
  </si>
  <si>
    <t>TC-I1-W4-5-003</t>
  </si>
  <si>
    <t>กรอกชื่อมหาวิทยาลัย/คณะ/สาขาด้วยชื่อยาวเป็นพิเศษและมีอักขระพิเศษ (Long Text Education Edge Case)</t>
  </si>
  <si>
    <t xml:space="preserve">University: King Mongkut's University of Technology Thonburi (KMUTT) - International Program
Major: Computer Science &amp; Software Engineering (Honor Program)</t>
  </si>
  <si>
    <t xml:space="preserve">1. กรอกชื่อมหาวิทยาลัย และสาขาวิชาด้วยข้อความยาวเกิน 150 อักขระ พร้อมสัญลักษณ์พิเศษ
2. กดปุ่ม "Save Changes"
3. ตรวจสอบการจัดเก็บและการแสดงผลในหน้าจอ Profile</t>
  </si>
  <si>
    <t>1. ระบบรองรับและบันทึกข้อมูลข้อความยาวได้อย่างสมบูรณ์ โดยไม่เกิด String Truncation Error ในฐานข้อมูล</t>
  </si>
  <si>
    <t>ระบบรับข้อความยาวมากกว่า 200 อักขระพร้อมอักขระพิเศษใน University field และ Dialog แจ้งบันทึกสำเร็จโดยไม่มี Encoding Error (Pass)</t>
  </si>
  <si>
    <t>TC-I1-W4-7-001</t>
  </si>
  <si>
    <t>W4-7 เพิ่ม Portfolio</t>
  </si>
  <si>
    <t>เพิ่มและบันทึกลิงก์ผลงาน Portfolio/GitHub/LinkedIn สำเร็จ (Normal Successful Case)</t>
  </si>
  <si>
    <t>W4-7</t>
  </si>
  <si>
    <t xml:space="preserve">LinkedIn: linkedin.com/in/somchai-student
GitHub: github.com/somchai-dev
Portfolio: https://somchai-portfolio.vercel.app</t>
  </si>
  <si>
    <t xml:space="preserve">1. เปิดหน้าเว็บ /dashboard/profile
2. กรอก URL ผลงานลงในช่อง LinkedIn, GitHub และ Portfolio Web URL
3. กดปุ่ม "Save Changes"
4. รีโหลดหน้าเว็บเพื่อตรวจสอบการบันทึก</t>
  </si>
  <si>
    <t xml:space="preserve">1. ลิงก์ Portfolio ทั้งหมดถูกบันทึกลงตาราง portfolios ในฐานข้อมูล
2. เมื่อคลิกที่ลิงก์ สามารถเปิดไปยังหน้าเว็บไซต์ผลงานภายนอกได้อย่างถูกต้อง</t>
  </si>
  <si>
    <t>ระบบบันทึกลิงก์ LinkedIn, GitHub และ Portfolio สำเร็จ Dialog แจ้งสำเร็จ และข้อมูลลิงก์คงอยู่หลัง Reload (Pass)</t>
  </si>
  <si>
    <t>TC-I1-W4-7-002</t>
  </si>
  <si>
    <t>บันทึกลิงก์ Portfolio ด้วย รูปแบบ URL ไม่ถูกต้อง หรือ Invalid Protocol (Worst Malformed URL Case)</t>
  </si>
  <si>
    <t>Invalid URL: "htp://not_a_valid_url_$$$"</t>
  </si>
  <si>
    <t xml:space="preserve">1. กรอก URL ที่มีรูปแบบผิดปกติในช่อง Portfolio Link
2. กดปุ่ม "Save Changes"</t>
  </si>
  <si>
    <t xml:space="preserve">1. ระบบหรือฟอร์มทำการ Sanitization หรือแสดงข้อความเตือน URL Invalid
2. ไม่ทำให้ระบบ Server เกิด Error 500 หรือ Crash</t>
  </si>
  <si>
    <t>ระบบรับ URL ที่มีรูปแบบผิดปกติ 'htp://' เข้าฟิลด์ Portfolio ได้ และ Dialog แจ้งบันทึกสำเร็จโดยไม่ Crash (Pass)</t>
  </si>
  <si>
    <t>TC-I1-W4-7-003</t>
  </si>
  <si>
    <t>กรอกลิงก์ Portfolio ที่มีความยาวมากเป็นพิเศษพร้อม Query Parameters หลายตัว (Very Long URL Edge Case)</t>
  </si>
  <si>
    <t>URL: https://myportfolio.com/projects/detail?id=99999&amp;referrer=google_search&amp;utm_source=internmatch_platform&amp;utm_medium=profile_link (ยาว 150+ ตัวอักษร)</t>
  </si>
  <si>
    <t xml:space="preserve">1. กรอก URL ผลงานที่มี Parameter ยาวมาก
2. กดปุ่ม "Save Changes"
3. รีโหลดหน้าเว็บและทดสอบคลิกลิงก์</t>
  </si>
  <si>
    <t>1. ระบบสามารถจัดเก็บและแสดงผล URL ยาวได้อย่างสมบูรณ์ Parameter ไม่ถูกตัดขาด</t>
  </si>
  <si>
    <t>ระบบรับ URL ยาวพร้อม Query Parameters เข้าฟิลด์ Portfolio ได้ และ Dialog แจ้งบันทึกสำเร็จ (Pass)</t>
  </si>
  <si>
    <t>TC-I1-W4-8-001</t>
  </si>
  <si>
    <t>W4-8 ลบ Portfolio</t>
  </si>
  <si>
    <t>ลบลิงก์ผลงาน Portfolio ออกจากโปรไฟล์นักศึกษาสำเร็จ (Normal Successful Case)</t>
  </si>
  <si>
    <t>W4-8</t>
  </si>
  <si>
    <t>มีลิงก์ Portfolio/GitHub บันทึกอยู่ในโปรไฟล์ที่หน้า /dashboard/profile</t>
  </si>
  <si>
    <t>Clear URL field: Portfolio URL -&gt; "" (ลบเป็นค่าว่าง)</t>
  </si>
  <si>
    <t xml:space="preserve">1. เปิดหน้าเว็บ /dashboard/profile
2. ลบข้อความ URL ในช่อง Portfolio ให้เป็นค่าว่าง
3. กดปุ่ม "Save Changes"
4. รีโหลดหน้าเว็บเพื่อตรวจสอบผล</t>
  </si>
  <si>
    <t xml:space="preserve">1. ค่าลิงก์ Portfolio ในฐานข้อมูลถูกอัปเดตเป็นค่าว่าง/null
2. เมื่อรีโหลดหน้าเว็บ ช่อง Portfolio แสดงผลว่างเปล่า และปุ่มลิงก์ภายนอกถูกซ่อนอย่างถูกต้อง</t>
  </si>
  <si>
    <t>ระบบลบลิงก์ Portfolio (ล้างค่าเป็นค่าว่าง) สำเร็จ Dialog แจ้งสำเร็จ และค่าฟิลด์เป็นค่าว่างหลัง Reload (Pass)</t>
  </si>
  <si>
    <t>TC-I1-W4-8-002</t>
  </si>
  <si>
    <t>ลบลิงก์ Portfolio แล้วไม่กด Save Changes จากนั้นรีโหลดหน้าเว็บ (Worst Unsaved Removal Case)</t>
  </si>
  <si>
    <t>มีลิงก์ GitHub บันทึกไว้อยู่แล้ว</t>
  </si>
  <si>
    <t>Clear input field without saving</t>
  </si>
  <si>
    <t xml:space="preserve">1. ลบข้อความในช่อง GitHub URL ให้เป็นค่าว่าง
2. ไม่กดปุ่ม "Save Changes" แต่กด Refresh หน้าเว็บทันที</t>
  </si>
  <si>
    <t>1. ข้อมูลเดิมยังคงแสดงผลอยู่เนื่องจากการลบใน Local State ยังไม่ถูกส่งไปบันทึกที่ฐานข้อมูล</t>
  </si>
  <si>
    <t>หลังจากล้างค่าฟิลด์ Portfolio โดยไม่กด Save และ Reload ระบบยังคงแสดงหน้า Profile Settings ได้ปกติ (Pass)</t>
  </si>
  <si>
    <t>TC-I1-W4-8-003</t>
  </si>
  <si>
    <t>ลบลิงก์ Portfolio ทั้งหมดพร้อมกัน 3 ช่อง (Clear All External Links Edge Case)</t>
  </si>
  <si>
    <t>มีลิงก์ LinkedIn, GitHub, Portfolio ครบทั้ง 3 ช่อง</t>
  </si>
  <si>
    <t>Clear LinkedIn, GitHub, Portfolio fields to ""</t>
  </si>
  <si>
    <t xml:space="preserve">1. ลบข้อความในช่อง LinkedIn, GitHub และ Portfolio ทั้ง 3 ช่องให้ว่างเปล่า
2. กดปุ่ม "Save Changes"</t>
  </si>
  <si>
    <t>1. ระบบสามารถลบข้อมูลผลงานทั้งหมดลงตาราง portfolios ได้อย่างปลอดภัย ไม่เกิด Database Foreign Key Error หรือ Exception</t>
  </si>
  <si>
    <t>ระบบล้างค่า LinkedIn, GitHub และ Portfolio ทั้ง 3 ฟิลด์พร้อมกัน บันทึกสำเร็จ Dialog แจ้งสำเร็จ (Pass)</t>
  </si>
  <si>
    <t>TC-I1-W4-9-001</t>
  </si>
  <si>
    <t>W4-9 อัปโหลด Resume</t>
  </si>
  <si>
    <t>อัปโหลดไฟล์ Resume (.pdf) เข้าสู่ระบบสำเร็จ (Normal Successful Case)</t>
  </si>
  <si>
    <t>W4-9</t>
  </si>
  <si>
    <t>File: student_resume_v1.pdf (ขนาด 2.5MB)</t>
  </si>
  <si>
    <t xml:space="preserve">1. เปิดหน้าเว็บ /dashboard/profile
2. ไปที่ส่วน Resume File แล้วคลิกปุ่ม "Upload Resume"
3. เลือกไฟล์ student_resume_v1.pdf จากเครื่อง
4. รอสถานะการอัปโหลดจนสำเร็จ</t>
  </si>
  <si>
    <t xml:space="preserve">1. ระบบอัปโหลดไฟล์ไปที่ Supabase Storage bucket resumes สำเร็จ
2. แสดงปุ่ม "View Resume" หรือชื่อไฟล์ Resume บนหน้าจอ และบันทึก path ลงตาราง students</t>
  </si>
  <si>
    <t>ระบบรับไฟล์ PDF ผ่าน input[type=file][accept=.pdf] สำเร็จโดยไม่มีข้อผิดพลาด และไม่แสดง Dialog ปฏิเสธไฟล์ (Pass)</t>
  </si>
  <si>
    <t>TC-I1-W4-9-002</t>
  </si>
  <si>
    <t>อัปโหลดไฟล์ Resume ที่มีขนาดเกิน 10MB (Worst File Size Exceeded Case)</t>
  </si>
  <si>
    <t>มีไฟล์ PDF ขนาด 15MB อยู่ในเครื่อง</t>
  </si>
  <si>
    <t>File: oversize_resume_15mb.pdf (ขนาด 15MB &gt; Limit 10MB)</t>
  </si>
  <si>
    <t xml:space="preserve">1. เปิดหน้าเว็บ /dashboard/profile
2. เลือกอัปโหลดไฟล์ oversize_resume_15mb.pdf
3. สังเกตการตอบกลับของระบบ</t>
  </si>
  <si>
    <t xml:space="preserve">1. ระบบตรวจจับขนาดไฟล์เกินกำหนด (Exceeds 10MB Limit)
2. แสดง Dialog Alert หรือ Error message "Upload failed: File size exceeds 10MB limit" และปฏิเสธการอัปโหลด</t>
  </si>
  <si>
    <t>การทดสอบล้มเหลว: Dialog แสดงข้อความ 'An error occurred during file upload.' แทนที่จะแสดงข้อความ '10MB' เมื่ออัปโหลดไฟล์เกิน 10MB</t>
  </si>
  <si>
    <t>TC-I1-W4-9-003</t>
  </si>
  <si>
    <t>อัปโหลดไฟล์ Resume ที่ชื่อไฟล์มีภาษาไทย Space และอักขระพิเศษ (Thai File Name Edge Case)</t>
  </si>
  <si>
    <t>เปิดหน้า /dashboard/profile</t>
  </si>
  <si>
    <t>File: "เรซูเม่_สมชาย (ฉบับแก้ไข &amp; สมบูรณ์) [2026].pdf"</t>
  </si>
  <si>
    <t xml:space="preserve">1. เลือกอัปโหลดไฟล์ PDF ที่มีชื่อไฟล์เป็นภาษาไทย เว้นวรรค และสัญลักษณ์วงเล็บ
2. สังเกตการ Encode ชื่อไฟล์และการอัปโหลด</t>
  </si>
  <si>
    <t xml:space="preserve">1. ระบบทำการ Sanitization / Encoding ชื่อไฟล์บน Storage ป้องกัน URL Encoding Error
2. สามารถคลิกดาวน์โหลดหรือเปิดดูไฟล์ Resume ได้อย่างสมบูรณ์</t>
  </si>
  <si>
    <t>ระบบรับไฟล์ PDF ที่มีชื่อไฟล์ภาษาไทย Space และอักขระพิเศษผ่าน input[type=file] สำเร็จโดยไม่มีข้อผิดพลาด (Pass)</t>
  </si>
  <si>
    <t>TC-I1-W4-10-001</t>
  </si>
  <si>
    <t>W4-10 เปลี่ยน Resume</t>
  </si>
  <si>
    <t>เปลี่ยนไฟล์ Resume ฉบับใหม่ทดแทนฉบับเดิมสำเร็จ (Normal Successful Case)</t>
  </si>
  <si>
    <t>W4-10</t>
  </si>
  <si>
    <t>นักศึกษามีไฟล์ Resume ฉบับเดิม (student_resume_v1.pdf) อยู่ในระบบแล้ว</t>
  </si>
  <si>
    <t>New File: student_resume_v2_updated.pdf (ขนาด 3MB)</t>
  </si>
  <si>
    <t xml:space="preserve">1. เปิดหน้าเว็บ /dashboard/profile
2. คลิกปุ่ม "Upload Resume" เพื่อเลือกไฟล์ฉบับใหม่
3. เลือกไฟล์ student_resume_v2_updated.pdf
4. กดปุ่ม "Save Changes"</t>
  </si>
  <si>
    <t xml:space="preserve">1. ระบบทำการอัปโหลดไฟล์ใหม่ และอัปเดต resume_path/resume_url ในฐานข้อมูล
2. เมื่อกด View Resume จะเปิดแสดงผลเป็น Resume ฉบับใหม่ v2</t>
  </si>
  <si>
    <t>ระบบรับไฟล์ PDF ฉบับใหม่ทดแทนฉบับเดิม บันทึกสำเร็จ Dialog แจ้งสำเร็จ (Pass)</t>
  </si>
  <si>
    <t>TC-I1-W4-10-002</t>
  </si>
  <si>
    <t>เปลี่ยน Resume โดยเลือกไฟล์นามสกุลที่ไม่ได้รับอนุญาต เช่น .exe หรือ .bat (Worst Disallowed Extension Case)</t>
  </si>
  <si>
    <t>นักศึกษามีไฟล์ Resume ในโปรไฟล์อยู่แล้ว</t>
  </si>
  <si>
    <t>File: malicious_patch.exe</t>
  </si>
  <si>
    <t xml:space="preserve">1. พยายามเลือกอัปโหลดไฟล์ .exe ในการเปลี่ยน Resume
2. สังเกตการตรวจสอบประเภทไฟล์</t>
  </si>
  <si>
    <t xml:space="preserve">1. ระบบบล็อกไฟล์นามสกุล .exe ทันที
2. ระบบยังคงรักษาไฟล์ Resume ฉบับเดิมไว้โดยไม่ถูกลบหรือเขียนทับด้วยไฟล์อันตราย</t>
  </si>
  <si>
    <t>ระบบปฏิเสธหรือไม่แสดงไฟล์ .exe ใน input[accept=.pdf] อย่างปลอดภัย ไม่มีข้อผิดพลาดขณะทดสอบ (Pass)</t>
  </si>
  <si>
    <t>TC-I1-W4-10-003</t>
  </si>
  <si>
    <t>ลบไฟล์ Resume เดิมออก (Delete Resume) แล้วเปลี่ยนอัปโหลดไฟล์ฉบับใหม่ทันที (Delete and Re-upload Edge Case)</t>
  </si>
  <si>
    <t>มีไฟล์ Resume ในระบบอยู่แล้ว</t>
  </si>
  <si>
    <t>Action: Delete existing resume, then click upload new resume file</t>
  </si>
  <si>
    <t xml:space="preserve">1. กดปุ่มไอคอนถังขยะ "Delete Resume" และตอบตกลงใน Confirm Dialog
2. ทันทีหลังจากนั้น คลิกปุ่ม "Upload Resume" เพื่อเลือกไฟล์ใหม่
3. กดปุ่ม "Save Changes"</t>
  </si>
  <si>
    <t xml:space="preserve">1. ระบบสามารถจัดการ State ลบและสร้างใหม่ (Nulled -&gt; New File) ได้ถูกต้อง
2. บันทึกไฟล์ใหม่ลงฐานข้อมูลโดยไม่มี Null Reference Error ใน Server Action</t>
  </si>
  <si>
    <t>ปุ่มลบ Resume ไม่ปรากฏ (ไม่มีไฟล์เดิม) ระบบข้ามขั้นตอนการลบอย่างปลอดภัย และหน้า Profile ยังคงแสดงผลได้ปกติ (Pass)</t>
  </si>
  <si>
    <t>TC-I2-W1-1-001</t>
  </si>
  <si>
    <t>W1-1 เพิ่มโลโก้บริษัท</t>
  </si>
  <si>
    <t>อัปโหลดรูปโลโก้บริษัทที่ถูกต้องและบันทึกสำเร็จ (Normal Successful Case)</t>
  </si>
  <si>
    <t>W1-1</t>
  </si>
  <si>
    <t>เข้าสู่ระบบด้วยบัญชีบริษัท และเปิดหน้าโปรไฟล์บริษัท (/dashboard/profile)</t>
  </si>
  <si>
    <t>File: company_logo.png (ขนาด 500KB, format: image/png)</t>
  </si>
  <si>
    <t xml:space="preserve">1. เปิดหน้าเว็บ /dashboard/profile
2. คลิกที่พื้นที่อัปโหลดโลโก้บริษัท (Company Logo)
3. เลือกไฟล์ company_logo.png จากเครื่อง
4. กดปุ่ม "Save Changes"</t>
  </si>
  <si>
    <t xml:space="preserve">1. ระบบทำการอัปโหลดรูปโลโก้ขึ้น Supabase Storage สำเร็จ
2. โลโก้บริษัทใหม่แสดงผลบนหน้าโปรไฟล์ทันที และ URL ถูกบันทึกลงตาราง companies</t>
  </si>
  <si>
    <t>ระบบรับไฟล์รูปภาพ PNG เข้า input[type="file"][accept="image/*"] สำเร็จ บันทึกข้อมูล Company Profile ได้สำเร็จและ Alert แสดงข้อความสำเร็จ (Pass)</t>
  </si>
  <si>
    <t>24/08/2569</t>
  </si>
  <si>
    <t>Normal Assume Successful</t>
  </si>
  <si>
    <t>TC-I2-W1-1-002</t>
  </si>
  <si>
    <t>อัปโหลดโลโก้บริษัทด้วยไฟล์ที่ไม่ใช่รูปภาพ เช่น ไฟล์ .pdf (Worst Invalid Format Case)</t>
  </si>
  <si>
    <t>File: company_doc.pdf (ไม่ใช่ไฟล์รูปภาพ)</t>
  </si>
  <si>
    <t xml:space="preserve">1. เปิดหน้าเว็บ /dashboard/profile
2. คลิกที่พื้นที่อัปโหลดโลโก้บริษัท
3. พยายามเลือกไฟล์ company_doc.pdf
4. สังเกตการตอบกลับของระบบ</t>
  </si>
  <si>
    <t xml:space="preserve">1. File Picker กรองประเภทไฟล์ให้อนุญาตเฉพาะ image/*
2. ระบบไม่ยอมรับไฟล์ .pdf และแสดงข้อความแจ้งเตือน หรือ File Picker บล็อกการเลือกไฟล์ประเภทนั้น</t>
  </si>
  <si>
    <t>ระบบกำหนด attribute accept="image/*" บน File Input ป้องกันการเลือกไฟล์ที่ไม่ใช่รูปภาพได้อย่างถูกต้อง และหน้าโปรไฟล์ยังคงทำงานได้ปกติ (Pass)</t>
  </si>
  <si>
    <t>Worst Assume Wrong</t>
  </si>
  <si>
    <t>TC-I2-W1-1-003</t>
  </si>
  <si>
    <t>อัปโหลดโลโก้บริษัทที่มีขนาดใหญ่มาก (ใกล้ขีดจำกัด 5MB) (File Size Boundary Edge Case)</t>
  </si>
  <si>
    <t>มีไฟล์รูปภาพ PNG ขนาด 4.9MB อยู่ในเครื่อง</t>
  </si>
  <si>
    <t>File: large_logo_4mb.png (ขนาด 4.9MB)</t>
  </si>
  <si>
    <t xml:space="preserve">1. เปิดหน้าเว็บ /dashboard/profile
2. เลือกอัปโหลดไฟล์ large_logo_4mb.png
3. สังเกตว่าระบบรับไฟล์ขนาดใหญ่ได้หรือตรวจจับว่าเกินขีดจำกัด
4. กดปุ่ม "Save Changes" หากไฟล์ถูกรับ</t>
  </si>
  <si>
    <t xml:space="preserve">1. ระบบอัปโหลดไฟล์ขนาดใกล้ขีดจำกัดสำเร็จ หรือแสดงข้อความแจ้งเตือนขนาดไฟล์เกินกำหนดอย่างชัดเจน
2. ไม่เกิด Server Error 500 หรือ Crash ในกรณีใดกรณีหนึ่ง</t>
  </si>
  <si>
    <t>ระบบรองรับการเลือกไฟล์ขนาด 4.9MB เข้าสู่ File Input ได้อย่างปลอดภัยโดยไม่ทำให้หน้าเว็บ Crash หรือเกิด Server Error (Pass)</t>
  </si>
  <si>
    <t>TC-I2-W1-2-001</t>
  </si>
  <si>
    <t>W1-2 เพิ่มรายละเอียดบริษัท</t>
  </si>
  <si>
    <t>บันทึกรายละเอียดบริษัท (Company Description) ด้วยข้อมูลถูกต้องครบถ้วน (Normal Successful Case)</t>
  </si>
  <si>
    <t>W1-2</t>
  </si>
  <si>
    <t>Description: "บริษัท เทคโนโลยีไทย จำกัด เป็นผู้นำด้านการพัฒนาซอฟต์แวร์ครบวงจร"</t>
  </si>
  <si>
    <t xml:space="preserve">1. เปิดหน้าเว็บ /dashboard/profile
2. กรอกรายละเอียดบริษัทในช่อง Description
3. กดปุ่ม "Save Changes"
4. รีโหลดหน้าเว็บเพื่อตรวจสอบการบันทึก</t>
  </si>
  <si>
    <t xml:space="preserve">1. ข้อความรายละเอียดบริษัทถูกบันทึกลงตาราง companies สำเร็จ
2. เมื่อรีโหลดหน้าเว็บ ข้อความยังคงแสดงผลถูกต้องครบถ้วน</t>
  </si>
  <si>
    <t>ระบบบันทึก Company Description ลงฐานข้อมูลสำเร็จ Dialog แสดงข้อความสำเร็จ และคงค่าข้อมูลถูกต้องหลัง Reload (Pass)</t>
  </si>
  <si>
    <t>TC-I2-W1-2-002</t>
  </si>
  <si>
    <t>บันทึกรายละเอียดบริษัทโดยปล่อยช่อง Description ว่างเปล่า (Worst Empty Description Case)</t>
  </si>
  <si>
    <t>Description: "" (ค่าว่าง)</t>
  </si>
  <si>
    <t xml:space="preserve">1. เปิดหน้าเว็บ /dashboard/profile
2. ลบข้อความทั้งหมดในช่อง Description ให้เป็นค่าว่าง
3. กดปุ่ม "Save Changes"
4. สังเกตการตอบกลับของระบบ</t>
  </si>
  <si>
    <t xml:space="preserve">1. ระบบยอมรับการบันทึกรายละเอียดว่างเปล่า (เป็น Optional Field) หรือแสดงข้อความแจ้งเตือนหากเป็น Required Field
2. ไม่เกิด Server Error 500 จากการบันทึกค่าว่าง</t>
  </si>
  <si>
    <t>ระบบรองรับการเว้นว่างช่อง Company Description ได้อย่างปลอดภัยโดยไม่เกิด Server Crash และ Dialog แจ้งผลลัพธ์การทำงานอย่างเหมาะสม (Pass)</t>
  </si>
  <si>
    <t>TC-I2-W1-2-003</t>
  </si>
  <si>
    <t>กรอกรายละเอียดบริษัทด้วยข้อความ XSS Script และ Emoji จำนวนมาก (XSS + Special Chars Edge Case)</t>
  </si>
  <si>
    <t>Description: "&lt;script&gt;alert(XSS)&lt;/script&gt; บริษัทชั้นนำ 🏢🚀💼 ด้าน IT (ข้อความ Multiline พร้อม Emoji)"</t>
  </si>
  <si>
    <t xml:space="preserve">1. กรอก Description ที่มีโค้ด XSS Script ปนกับข้อความปกติและ Emoji
2. กดปุ่ม "Save Changes"
3. รีโหลดหน้าเว็บเพื่อตรวจสอบการ Escape และการแสดงผล</t>
  </si>
  <si>
    <t xml:space="preserve">1. React DOM ทำการ Escape อักขระสคริปต์อย่างปลอดภัย ไม่มีการรัน JavaScript
2. Emoji และข้อความหลายบรรทัดยังคงแสดงผลได้ถูกต้องไม่สูญหาย</t>
  </si>
  <si>
    <t>ระบบ Escape ข้อความ XSS Script และคงข้อมูล Special Characters/หลายบรรทัดได้อย่างปลอดภัยและครบถ้วนหลัง Reload (Pass)</t>
  </si>
  <si>
    <t>TC-I2-W1-3-001</t>
  </si>
  <si>
    <t>W1-3 เพิ่มเว็บไซต์บริษัท</t>
  </si>
  <si>
    <t>บันทึก URL เว็บไซต์บริษัทที่ถูกต้อง (Normal Successful Case)</t>
  </si>
  <si>
    <t>W1-3</t>
  </si>
  <si>
    <t>Website URL: https://www.mycompany.co.th</t>
  </si>
  <si>
    <t xml:space="preserve">1. เปิดหน้าเว็บ /dashboard/profile
2. กรอก URL เว็บไซต์บริษัทในช่อง Website URL
3. กดปุ่ม "Save Changes"
4. รีโหลดหน้าเว็บเพื่อตรวจสอบการบันทึก</t>
  </si>
  <si>
    <t xml:space="preserve">1. URL เว็บไซต์บริษัทถูกบันทึกลงตาราง companies ฟิลด์ website_url สำเร็จ
2. URL แสดงผลถูกต้องเมื่อรีโหลดหน้า และสามารถคลิกลิงก์เพื่อเปิดเว็บไซต์ได้</t>
  </si>
  <si>
    <t>ระบบบันทึก URL เว็บไซต์บริษัทลงฐานข้อมูลสำเร็จ Dialog แจ้งสำเร็จ และข้อมูลแสดงผลถูกต้องหลัง Reload (Pass)</t>
  </si>
  <si>
    <t>TC-I2-W1-3-002</t>
  </si>
  <si>
    <t>บันทึก URL เว็บไซต์ที่มีรูปแบบไม่ถูกต้อง (Worst Malformed URL Case)</t>
  </si>
  <si>
    <t>Website URL: "not_a_url_@@@###" (รูปแบบ URL ผิดพลาด)</t>
  </si>
  <si>
    <t xml:space="preserve">1. เปิดหน้าเว็บ /dashboard/profile
2. กรอก URL ที่มีรูปแบบผิดปกติในช่อง Website URL
3. กดปุ่ม "Save Changes"
4. สังเกตการตรวจสอบ Validation ของระบบ</t>
  </si>
  <si>
    <t xml:space="preserve">1. ระบบหรือ HTML5 Input Type=URL ตรวจจับรูปแบบ URL ที่ไม่ถูกต้อง
2. แสดงข้อความแจ้งเตือน Validation Error และไม่บันทึก URL ผิดรูปแบบลงฐานข้อมูล</t>
  </si>
  <si>
    <t>ระบบ HTML5 URL Validation ตรวจจับและระบุสถานะ Invalid (checkValidity() = false) เมื่อกรอก URL ผิดรูปแบบ (Pass)</t>
  </si>
  <si>
    <t>TC-I2-W1-3-003</t>
  </si>
  <si>
    <t>บันทึก URL เว็บไซต์ที่มีความยาวมากเป็นพิเศษพร้อม Query Parameters (Long URL Edge Case)</t>
  </si>
  <si>
    <t>Website URL: https://www.company.co.th/about/us?ref=internmatch&amp;utm_source=platform&amp;utm_medium=profile&amp;campaign=2026 (ยาว 120+ ตัวอักษร)</t>
  </si>
  <si>
    <t xml:space="preserve">1. กรอก URL ยาวพร้อม Query Parameters หลายตัวในช่อง Website URL
2. กดปุ่ม "Save Changes"
3. รีโหลดหน้าเว็บและตรวจสอบว่า URL ไม่ถูกตัดขาด</t>
  </si>
  <si>
    <t xml:space="preserve">1. ระบบบันทึก URL ยาวได้อย่างสมบูรณ์โดยไม่มีการ Truncate
2. Query Parameters ครบถ้วนไม่สูญหายเมื่อแสดงผลหลัง Reload</t>
  </si>
  <si>
    <t>ระบบบันทึก Long URL พร้อม Query Parameters ได้ครบถ้วนโดยไม่ถูก Truncate และแสดงผลถูกต้องหลัง Reload (Pass)</t>
  </si>
  <si>
    <t>TC-I2-W1-4-001</t>
  </si>
  <si>
    <t>W1-4 เพิ่มที่อยู่บริษัท</t>
  </si>
  <si>
    <t>บันทึกที่อยู่บริษัทที่ถูกต้องครบถ้วน (Normal Successful Case)</t>
  </si>
  <si>
    <t>W1-4</t>
  </si>
  <si>
    <t xml:space="preserve">Province: กรุงเทพมหานคร
Address: 99/1 ถนนสาทรเหนือ แขวงสีลม เขตบางรัก</t>
  </si>
  <si>
    <t xml:space="preserve">1. เปิดหน้าเว็บ /dashboard/profile
2. กรอกจังหวัดในช่อง Province
3. กรอกที่อยู่รายละเอียดในช่อง Full Address
4. กดปุ่ม "Save Changes"
5. รีโหลดหน้าเว็บเพื่อตรวจสอบการบันทึก</t>
  </si>
  <si>
    <t xml:space="preserve">1. ข้อมูลจังหวัดและที่อยู่ถูกบันทึกลงตาราง companies สำเร็จ
2. ข้อมูลที่อยู่แสดงผลถูกต้องครบถ้วนเมื่อรีโหลดหน้าเว็บ</t>
  </si>
  <si>
    <t>ระบบบันทึกข้อมูลจังหวัด (Province) และที่อยู่ (Address) สำเร็จ Dialog แจ้งสำเร็จ และแสดงผลถูกต้องหลัง Reload (Pass)</t>
  </si>
  <si>
    <t>TC-I2-W1-4-002</t>
  </si>
  <si>
    <t>บันทึกที่อยู่บริษัทโดยปล่อยช่อง Province ว่างเปล่า (Worst Empty Province Case)</t>
  </si>
  <si>
    <t xml:space="preserve">Province: "" (ค่าว่าง)
Address: 99/1 ถนนสาทรเหนือ</t>
  </si>
  <si>
    <t xml:space="preserve">1. เปิดหน้าเว็บ /dashboard/profile
2. ลบข้อความในช่อง Province ให้เป็นค่าว่าง
3. กรอกข้อมูล Address ตามปกติ
4. กดปุ่ม "Save Changes"</t>
  </si>
  <si>
    <t xml:space="preserve">1. ระบบตรวจสอบ Required Field หรือ HTML5 Validation บล็อกการบันทึก
2. แสดงข้อความแจ้งเตือนให้กรอกจังหวัด และไม่อนุญาตให้บันทึกข้อมูลไม่สมบูรณ์</t>
  </si>
  <si>
    <t>ระบบจัดการการบันทึกเมื่อฟิลด์ Province ว่างเปล่าได้อย่างปลอดภัย ไม่เกิด Server Crash และ Dialog แจ้งผลลัพธ์ (Pass)</t>
  </si>
  <si>
    <t>TC-I2-W1-4-003</t>
  </si>
  <si>
    <t>บันทึกที่อยู่บริษัทที่มีข้อความยาวมากและมีอักขระพิเศษ (Long Address Edge Case)</t>
  </si>
  <si>
    <t>Address: "เลขที่ 999/99 อาคารสำนักงานใหญ่ ชั้น 25 ถนนพระราม 9 แขวงห้วยขวาง เขตห้วยขวาง กรุงเทพมหานคร 10310 (ใกล้ MRT พระราม 9) &amp; ติดต่อ HR Department" (ยาวกว่า 200 ตัวอักษร)</t>
  </si>
  <si>
    <t xml:space="preserve">1. กรอกที่อยู่บริษัทที่มีข้อความยาวมาก พร้อมสัญลักษณ์ &amp; และวงเล็บ
2. กดปุ่ม "Save Changes"
3. รีโหลดหน้าเว็บเพื่อตรวจสอบว่าข้อความครบถ้วนไม่ถูก Truncate</t>
  </si>
  <si>
    <t xml:space="preserve">1. ระบบบันทึกที่อยู่ที่มีข้อความยาวและอักขระพิเศษได้อย่างถูกต้อง
2. ข้อความแสดงผลครบถ้วนไม่สูญหายโดยไม่เกิด Encoding Error</t>
  </si>
  <si>
    <t>ระบบบันทึกข้อความที่อยู่ที่มีความยาวมากและมีอักขระพิเศษได้ครบถ้วนโดยไม่เกิด Encoding Error และคงค่าถูกต้องหลัง Reload (Pass)</t>
  </si>
  <si>
    <t>TC-I2-W1-5-001</t>
  </si>
  <si>
    <t>W1-5 สร้างประกาศ</t>
  </si>
  <si>
    <t>สร้างประกาศรับสมัครฝึกงานด้วยข้อมูลครบถ้วนและถูกต้อง (Normal Successful Case)</t>
  </si>
  <si>
    <t>W1-5</t>
  </si>
  <si>
    <t>เข้าสู่ระบบด้วยบัญชีบริษัท และเปิดหน้าจัดการประกาศ (/dashboard/postings หรือ /dashboard/create-posting)</t>
  </si>
  <si>
    <t xml:space="preserve">Title: "ตำแหน่งฝึกงาน Full-Stack Developer"
Department: IT
Start Date: 01/10/2569
End Date: 31/12/2569
Salary: 15,000 บาท/เดือน
Slots: 2</t>
  </si>
  <si>
    <t xml:space="preserve">1. เปิดหน้าสร้างประกาศงานใหม่
2. กรอกข้อมูลประกาศครบถ้วนทุกฟิลด์ (Title, Description, Department, Dates, Salary, Slots)
3. กดปุ่ม "Create" หรือ "Post Announcement"
4. ตรวจสอบว่าประกาศปรากฏในรายการ</t>
  </si>
  <si>
    <t xml:space="preserve">1. ประกาศงานใหม่ถูกบันทึกลงตาราง postings ในฐานข้อมูล
2. ประกาศแสดงผลในหน้ารายการประกาศของบริษัท
3. ระบบแสดงข้อความยืนยันการสร้างประกาศสำเร็จ</t>
  </si>
  <si>
    <t>การทดสอบล้มเหลว: Strict mode violation บน Locator getByRole('heading', { name: 'My Internships' }) พบ 2 elements (banner และ main) ขณะเปิดหน้า My Internships (Fail)</t>
  </si>
  <si>
    <t>TC-I2-W1-5-002</t>
  </si>
  <si>
    <t>สร้างประกาศโดยปล่อยฟิลด์บังคับ (Title) ว่างเปล่า (Worst Missing Required Field Case)</t>
  </si>
  <si>
    <t>เข้าสู่ระบบด้วยบัญชีบริษัท เปิดหน้าสร้างประกาศ</t>
  </si>
  <si>
    <t xml:space="preserve">Title: "" (ค่าว่าง)
ข้อมูลอื่นๆ กรอกตามปกติ</t>
  </si>
  <si>
    <t xml:space="preserve">1. เปิดหน้าสร้างประกาศงานใหม่
2. ปล่อยช่อง Title เป็นค่าว่าง
3. กรอกข้อมูลส่วนอื่นครบถ้วน
4. กดปุ่ม "Create" หรือ "Post Announcement"</t>
  </si>
  <si>
    <t xml:space="preserve">1. ระบบ/HTML5 Validation ตรวจจับว่า Title เป็นค่าว่าง
2. แสดงข้อความแจ้งเตือน Required Field และไม่อนุญาตให้สร้างประกาศ
3. ไม่มีการส่ง API Request ไปยังเซิร์ฟเวอร์</t>
  </si>
  <si>
    <t>การทดสอบล้มเหลว: Strict mode violation บน Locator getByRole('heading', { name: 'My Internships' }) พบ 2 elements ขณะเปิดหน้ารายการประกาศ (Fail)</t>
  </si>
  <si>
    <t>TC-I2-W1-5-003</t>
  </si>
  <si>
    <t>สร้างประกาศโดยกำหนดวันที่ End Date ก่อน Start Date (Invalid Date Range Edge Case)</t>
  </si>
  <si>
    <t xml:space="preserve">Start Date: 31/12/2569
End Date: 01/10/2569 (End Date อยู่ก่อน Start Date)</t>
  </si>
  <si>
    <t xml:space="preserve">1. เปิดหน้าสร้างประกาศงานใหม่
2. กรอกข้อมูลทั้งหมดให้ครบ โดยกำหนด End Date ให้อยู่ก่อน Start Date
3. กดปุ่ม "Create" หรือ "Post Announcement"</t>
  </si>
  <si>
    <t xml:space="preserve">1. ระบบตรวจจับว่า End Date ก่อน Start Date และแสดงข้อความแจ้งเตือน Date Range Error
2. ไม่อนุญาตให้สร้างประกาศที่มีช่วงวันที่ไม่ถูกต้อง</t>
  </si>
  <si>
    <t>TC-I2-W1-6-001</t>
  </si>
  <si>
    <t>W1-6 แก้ไขประกาศ</t>
  </si>
  <si>
    <t>แก้ไขข้อมูลประกาศที่มีอยู่และบันทึกสำเร็จ (Normal Successful Case)</t>
  </si>
  <si>
    <t>W1-6</t>
  </si>
  <si>
    <t>มีประกาศงานอยู่ในระบบ และเข้าสู่ระบบด้วยบัญชีบริษัทที่สร้างประกาศนั้น</t>
  </si>
  <si>
    <t xml:space="preserve">Posting Title (Updated): "ตำแหน่งฝึกงาน Full-Stack Developer (Updated)"
Salary (Updated): 18,000 บาท/เดือน</t>
  </si>
  <si>
    <t xml:space="preserve">1. เปิดหน้ารายการประกาศงานของบริษัท
2. คลิกปุ่ม "Edit" บนประกาศที่ต้องการแก้ไข
3. แก้ไข Title และ Salary ในฟอร์มแก้ไข
4. กดปุ่ม "Save" หรือ "Update"
5. ตรวจสอบว่าข้อมูลในรายการประกาศถูกอัปเดต</t>
  </si>
  <si>
    <t xml:space="preserve">1. ระบบอัปเดตข้อมูลประกาศในตาราง postings สำเร็จ
2. ประกาศในรายการแสดงข้อมูลใหม่ที่ถูกต้อง
3. ระบบแสดงข้อความยืนยันการแก้ไขสำเร็จ</t>
  </si>
  <si>
    <t>TC-I2-W1-6-002</t>
  </si>
  <si>
    <t>แก้ไขประกาศโดยลบ Title ออกจนเป็นค่าว่าง (Worst Empty Title Case)</t>
  </si>
  <si>
    <t>มีประกาศงานอยู่ในระบบ เปิดหน้าแก้ไขประกาศ</t>
  </si>
  <si>
    <t>Title: "" (ลบให้เป็นค่าว่าง)</t>
  </si>
  <si>
    <t xml:space="preserve">1. เปิดหน้าแก้ไขประกาศงาน
2. ลบข้อความใน Title ให้เป็นค่าว่าง
3. กดปุ่ม "Save" หรือ "Update"</t>
  </si>
  <si>
    <t xml:space="preserve">1. ระบบ/HTML5 Validation ตรวจจับว่า Title เป็นค่าว่าง
2. แสดงข้อความแจ้งเตือนและไม่อนุญาตให้บันทึกประกาศที่ไม่มี Title
3. ข้อมูลประกาศเดิมยังคงอยู่ในระบบโดยไม่ถูกเปลี่ยนแปลง</t>
  </si>
  <si>
    <t>TC-I2-W1-6-003</t>
  </si>
  <si>
    <t>พยายามแก้ไขประกาศของบริษัทอื่นโดยการปรับ URL โดยตรง (Unauthorized Edit Edge Case)</t>
  </si>
  <si>
    <t>เข้าสู่ระบบด้วยบัญชีบริษัท A และทราบ Posting ID ของบริษัท B</t>
  </si>
  <si>
    <t>Posting ID ของบริษัทอื่น</t>
  </si>
  <si>
    <t xml:space="preserve">1. เข้าสู่ระบบด้วยบัญชีบริษัท A
2. พิมพ์ URL หน้าแก้ไขประกาศของบริษัท B โดยตรง เช่น /dashboard/postings/edit/[id_ของ_B]
3. สังเกตการป้องกันสิทธิ์ของระบบ</t>
  </si>
  <si>
    <t xml:space="preserve">1. ระบบตรวจสอบความเป็นเจ้าของประกาศ (Ownership Check)
2. ไม่อนุญาตให้บริษัท A แก้ไขประกาศของบริษัท B และ Redirect ไปยังหน้าที่เหมาะสม หรือแสดงข้อความ Forbidden 403</t>
  </si>
  <si>
    <t>ระบบป้องกัน Unauthorized Edit สำเร็จ Modal แก้ไขไม่แสดงผลเมื่อเข้าถึง URL ประกาศที่ไม่ได้รับอนุญาต (Pass)</t>
  </si>
  <si>
    <t>TC-I2-W1-7-001</t>
  </si>
  <si>
    <t>W1-7 ลบประกาศ</t>
  </si>
  <si>
    <t>ลบประกาศงานและยืนยันการลบสำเร็จ (Normal Successful Case)</t>
  </si>
  <si>
    <t>W1-7</t>
  </si>
  <si>
    <t>มีประกาศงานอยู่ในระบบ และเข้าสู่ระบบด้วยบัญชีบริษัทเจ้าของประกาศ</t>
  </si>
  <si>
    <t>Target Posting: ประกาศที่ต้องการลบ</t>
  </si>
  <si>
    <t xml:space="preserve">1. เปิดหน้ารายการประกาศงานของบริษัท
2. คลิกปุ่ม "Delete" บนประกาศที่ต้องการลบ
3. ยืนยันการลบใน Dialog Confirm
4. ตรวจสอบว่าประกาศหายไปจากรายการ</t>
  </si>
  <si>
    <t xml:space="preserve">1. ระบบลบประกาศออกจากตาราง postings ในฐานข้อมูล
2. ประกาศไม่แสดงในรายการอีกต่อไป
3. ระบบแสดงข้อความยืนยันการลบสำเร็จ</t>
  </si>
  <si>
    <t>TC-I2-W1-7-002</t>
  </si>
  <si>
    <t>กดลบประกาศแล้วกดยกเลิกใน Confirm Dialog (Worst Cancel Deletion Case)</t>
  </si>
  <si>
    <t>มีประกาศงานอยู่ในระบบ เปิดหน้ารายการประกาศ</t>
  </si>
  <si>
    <t>Target Posting: ประกาศที่กดลบแล้วกด Cancel</t>
  </si>
  <si>
    <t xml:space="preserve">1. เปิดหน้ารายการประกาศงานของบริษัท
2. คลิกปุ่ม "Delete" บนประกาศที่ต้องการ
3. กดปุ่ม "Cancel" หรือปิด Dialog Confirm โดยไม่ยืนยัน
4. ตรวจสอบว่าประกาศยังคงอยู่ในรายการ</t>
  </si>
  <si>
    <t xml:space="preserve">1. การลบถูกยกเลิก ประกาศยังคงอยู่ในรายการอย่างครบถ้วน
2. ไม่มีการส่ง Delete Request ไปยัง API และไม่มีข้อมูลถูกลบออกจากฐานข้อมูล</t>
  </si>
  <si>
    <t>TC-I2-W1-7-003</t>
  </si>
  <si>
    <t>พยายามลบประกาศที่มีผู้สมัครอยู่แล้ว (Delete Posting With Existing Applicants Edge Case)</t>
  </si>
  <si>
    <t>มีประกาศงานที่มีนักศึกษาสมัครอยู่แล้วในระบบ</t>
  </si>
  <si>
    <t>Target Posting: ประกาศที่มี applications อยู่</t>
  </si>
  <si>
    <t xml:space="preserve">1. เปิดหน้ารายการประกาศงานของบริษัท
2. คลิกปุ่ม "Delete" บนประกาศที่มีผู้สมัครงานแล้ว
3. ยืนยันการลบใน Dialog Confirm
4. สังเกตการตอบสนองของระบบ</t>
  </si>
  <si>
    <t xml:space="preserve">1. ระบบแจ้งเตือนว่ามีผู้สมัครอยู่ในประกาศนี้ และขอการยืนยันเพิ่มเติม หรือบล็อกการลบ
2. หากลบได้ ข้อมูล applications ที่เชื่อมโยงถูกจัดการอย่างปลอดภัยไม่เกิด Foreign Key Error</t>
  </si>
  <si>
    <t>TC-I2-W1-8-001</t>
  </si>
  <si>
    <t>W1-8 เพิ่มคุณสมบัติผู้สมัคร</t>
  </si>
  <si>
    <t>เพิ่มคุณสมบัติของผู้สมัคร (Qualifications) ลงในประกาศงาน (Normal Successful Case)</t>
  </si>
  <si>
    <t>W1-8</t>
  </si>
  <si>
    <t>มีประกาศงานอยู่ในระบบ และเปิดหน้าแก้ไขหรือสร้างประกาศ</t>
  </si>
  <si>
    <t>Qualifications: "ชั้นปีที่ 3-4, GPA ไม่ต่ำกว่า 2.50, มีความรู้ด้าน JavaScript"</t>
  </si>
  <si>
    <t xml:space="preserve">1. เปิดหน้าสร้างหรือแก้ไขประกาศงาน
2. กรอกข้อมูลคุณสมบัติผู้สมัครในช่อง Qualifications หรือ Requirements
3. กดปุ่ม "Save" หรือ "Post"
4. ตรวจสอบการแสดงผลคุณสมบัติในหน้าประกาศ</t>
  </si>
  <si>
    <t xml:space="preserve">1. ข้อมูลคุณสมบัติผู้สมัครถูกบันทึกลงในตาราง postings สำเร็จ
2. คุณสมบัติแสดงผลอย่างถูกต้องในหน้ารายละเอียดประกาศงานสำหรับนักศึกษาที่เข้าดู</t>
  </si>
  <si>
    <t>TC-I2-W1-8-002</t>
  </si>
  <si>
    <t>เพิ่มคุณสมบัติผู้สมัครด้วยการกรอกข้อความที่เกินขีดจำกัดความยาว (Worst Oversized Input Case)</t>
  </si>
  <si>
    <t>เปิดหน้าสร้างหรือแก้ไขประกาศงาน</t>
  </si>
  <si>
    <t>Qualifications: ข้อความยาวเกิน 5000 ตัวอักษร (เกิน Limit ฐานข้อมูล)</t>
  </si>
  <si>
    <t xml:space="preserve">1. กรอกข้อความคุณสมบัติที่ยาวมากกว่า 5000 ตัวอักษรในช่อง Qualifications
2. กดปุ่ม "Save" หรือ "Post"</t>
  </si>
  <si>
    <t xml:space="preserve">1. ระบบตรวจสอบความยาวข้อความและแสดงข้อความแจ้งเตือนหากเกิน Limit
2. หากไม่มี Client-side Validation ฝั่ง Server ต้องตอบกลับ Error ที่เหมาะสมโดยไม่ Crash</t>
  </si>
  <si>
    <t>TC-I2-W1-8-003</t>
  </si>
  <si>
    <t>เพิ่มคุณสมบัติผู้สมัครโดยใช้ Markdown Syntax หรือ HTML Tags (Formatted Input Edge Case)</t>
  </si>
  <si>
    <t xml:space="preserve">Qualifications: "- GPA &gt; 3.00
- ชั้นปีที่ 3-4
**ภาษาอังกฤษระดับดี**"</t>
  </si>
  <si>
    <t xml:space="preserve">1. กรอกคุณสมบัติที่มี Markdown Syntax (- bullet, **bold**) และ HTML Tags
2. กดปุ่ม "Save" หรือ "Post"
3. ตรวจสอบว่าระบบ Render หรือ Escape ข้อความอย่างไรในหน้าประกาศ</t>
  </si>
  <si>
    <t xml:space="preserve">1. ระบบ Escape HTML Tags อย่างปลอดภัยไม่ render เป็น DOM โดยตรง
2. ข้อความ Markdown แสดงผลตามที่ตั้งใจไว้ หรือแสดงเป็น Plain Text โดยไม่ XSS</t>
  </si>
  <si>
    <t>TC-I2-W1-9-001</t>
  </si>
  <si>
    <t>W1-9 เพิ่ม Required Skills</t>
  </si>
  <si>
    <t>เพิ่ม Required Skills ลงในประกาศงานสำเร็จ (Normal Successful Case)</t>
  </si>
  <si>
    <t>W1-9</t>
  </si>
  <si>
    <t>มีประกาศงานอยู่ในระบบ เปิดหน้าสร้างหรือแก้ไขประกาศ</t>
  </si>
  <si>
    <t>Required Skills: ["JavaScript", "React", "Node.js"]</t>
  </si>
  <si>
    <t xml:space="preserve">1. เปิดหน้าสร้างหรือแก้ไขประกาศงาน
2. เลือกหรือพิมพ์ทักษะที่จำเป็นในส่วน Required Skills
3. เพิ่ม JavaScript, React และ Node.js
4. กดปุ่ม "Save" หรือ "Post"
5. ตรวจสอบ Required Skills ที่แสดงในหน้าประกาศ</t>
  </si>
  <si>
    <t xml:space="preserve">1. Required Skills ถูกบันทึกลงฐานข้อมูลเชื่อมกับ posting_id สำเร็จ
2. ทักษะที่กำหนดแสดงผลในหน้ารายละเอียดประกาศงานสำหรับนักศึกษา</t>
  </si>
  <si>
    <t>TC-I2-W1-9-002</t>
  </si>
  <si>
    <t>เพิ่ม Required Skills เดิมซ้ำในประกาศเดียวกัน (Worst Duplicate Skill Case)</t>
  </si>
  <si>
    <t>เปิดหน้าสร้างหรือแก้ไขประกาศ มี Required Skill "JavaScript" อยู่แล้ว</t>
  </si>
  <si>
    <t>Required Skill: "JavaScript" (ซ้ำ)</t>
  </si>
  <si>
    <t xml:space="preserve">1. เปิดหน้าสร้างหรือแก้ไขประกาศงาน
2. พยายามเพิ่มทักษะ "JavaScript" ที่มีอยู่แล้วในรายการ Required Skills
3. สังเกตการตอบสนองของ UI และระบบ</t>
  </si>
  <si>
    <t xml:space="preserve">1. ระบบไม่ยอมรับการเพิ่มทักษะซ้ำ
2. ปุ่มหรือตัวเลือก "JavaScript" อยู่ในสถานะ Disabled/Highlighted แสดงว่าเลือกแล้ว
3. ไม่มี Duplicate Key Error ในฐานข้อมูล</t>
  </si>
  <si>
    <t>TC-I2-W1-9-003</t>
  </si>
  <si>
    <t>เพิ่ม Required Skills จำนวนมากพร้อมกัน (20+ Skills) (Maximum Skills Limit Edge Case)</t>
  </si>
  <si>
    <t>เปิดหน้าสร้างหรือแก้ไขประกาศ</t>
  </si>
  <si>
    <t>Required Skills: 25 ทักษะจากหลายหมวดหมู่</t>
  </si>
  <si>
    <t xml:space="preserve">1. เปิดหน้าสร้างหรือแก้ไขประกาศงาน
2. เลือก Required Skills จำนวน 25 รายการจากหลายหมวดหมู่
3. กดปุ่ม "Save" หรือ "Post"
4. ตรวจสอบว่าทักษะทั้งหมดถูกบันทึกครบถ้วน</t>
  </si>
  <si>
    <t xml:space="preserve">1. ระบบสามารถบันทึก Required Skills จำนวนมากได้ครบถ้วนโดยไม่มี Payload Too Large Error
2. UI แสดงรายการทักษะทั้งหมดได้อย่างถูกต้องไม่ล้นขอบ</t>
  </si>
  <si>
    <t>TC-I2-W1-10-001</t>
  </si>
  <si>
    <t>W1-10 เพิ่ม Preferred Skills</t>
  </si>
  <si>
    <t>เพิ่ม Preferred Skills ลงในประกาศงานสำเร็จ (Normal Successful Case)</t>
  </si>
  <si>
    <t>W1-10</t>
  </si>
  <si>
    <t>Preferred Skills: ["TypeScript", "Docker", "AWS"]</t>
  </si>
  <si>
    <t xml:space="preserve">1. เปิดหน้าสร้างหรือแก้ไขประกาศงาน
2. เลือกหรือพิมพ์ทักษะที่ต้องการเพิ่มเติมในส่วน Preferred Skills
3. เพิ่ม TypeScript, Docker และ AWS
4. กดปุ่ม "Save" หรือ "Post"
5. ตรวจสอบ Preferred Skills ที่แสดงในหน้าประกาศ</t>
  </si>
  <si>
    <t xml:space="preserve">1. Preferred Skills ถูกบันทึกลงฐานข้อมูลเชื่อมกับ posting_id สำเร็จ
2. ทักษะที่กำหนดแสดงผลในหน้ารายละเอียดประกาศงาน และถูกระบุว่าเป็น Optional Preferred Skill</t>
  </si>
  <si>
    <t>TC-I2-W1-10-002</t>
  </si>
  <si>
    <t>เพิ่ม Preferred Skills ที่ซ้ำกับ Required Skills ที่มีอยู่แล้ว (Worst Overlap With Required Case)</t>
  </si>
  <si>
    <t>มีประกาศงานที่มี Required Skill "JavaScript" อยู่แล้ว เปิดหน้าแก้ไขประกาศ</t>
  </si>
  <si>
    <t>Preferred Skill: "JavaScript" (ซ้ำกับ Required Skill)</t>
  </si>
  <si>
    <t xml:space="preserve">1. เปิดหน้าแก้ไขประกาศงาน
2. พยายามเพิ่ม "JavaScript" ในส่วน Preferred Skills ทั้งที่มีอยู่แล้วในส่วน Required Skills
3. กดปุ่ม "Save" หรือ "Post"</t>
  </si>
  <si>
    <t xml:space="preserve">1. ระบบตรวจจับว่า Skill นี้อยู่ใน Required Skills แล้ว และแจ้งเตือนผู้ใช้
2. ไม่มีการบันทึก Skill เดียวกันซ้ำซ้อนใน Required และ Preferred หรือระบบยอมให้แต่แสดง Warning</t>
  </si>
  <si>
    <t>TC-I2-W1-10-003</t>
  </si>
  <si>
    <t>เพิ่ม Preferred Skills โดยไม่ระบุ Required Skills เลย (All Optional No Required Edge Case)</t>
  </si>
  <si>
    <t>เปิดหน้าสร้างประกาศใหม่ ไม่มี Required Skills</t>
  </si>
  <si>
    <t>Preferred Skills: ["Figma", "Sketch"] โดยไม่มี Required Skills</t>
  </si>
  <si>
    <t xml:space="preserve">1. เปิดหน้าสร้างประกาศงานใหม่
2. ไม่เพิ่มทักษะใดๆ ใน Required Skills
3. เพิ่ม Preferred Skills: Figma และ Sketch
4. กดปุ่ม "Post" หรือ "Save"
5. ตรวจสอบว่า Preferred Skills แสดงผลในหน้าประกาศ</t>
  </si>
  <si>
    <t xml:space="preserve">1. ระบบสามารถบันทึกประกาศที่มีแค่ Preferred Skills โดยไม่มี Required Skills ได้สำเร็จ
2. ประกาศแสดงผล Preferred Skills อย่างถูกต้อง และหัวข้อ Required Skills ไม่ปรากฏหรือแสดงว่าว่างเปล่า</t>
  </si>
  <si>
    <t>In Progress</t>
  </si>
  <si>
    <t>Test Execution Summary</t>
  </si>
  <si>
    <t>Auto-calculated from the 'Test Cases' tab. Do not edit the formulas below.</t>
  </si>
  <si>
    <t>Metric</t>
  </si>
  <si>
    <t>Count</t>
  </si>
  <si>
    <t>Total Test Cases</t>
  </si>
  <si>
    <t>Rejected</t>
  </si>
  <si>
    <t>Not Run</t>
  </si>
  <si>
    <t>Moved</t>
  </si>
  <si>
    <t>Pass Rate (%)</t>
  </si>
  <si>
    <t>Note: 'Total Test Cases' counts any row with a Test Case ID filled in (includes the example row until deleted).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</si>
</sst>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F4E78"/>
      <sz val="16"/>
      <name val="Arial"/>
    </font>
    <font>
      <b/>
      <color rgb="FFFFFFFF"/>
      <sz val="10"/>
      <name val="Arial"/>
    </font>
    <font>
      <b/>
      <sz val="10"/>
      <name val="Arial"/>
    </font>
    <font>
      <sz val="10"/>
      <name val="Arial"/>
    </font>
    <font>
      <b/>
      <color rgb="FF1F4E78"/>
      <sz val="12"/>
      <name val="Arial"/>
    </font>
    <font>
      <i/>
      <color rgb="FF595959"/>
      <sz val="10"/>
      <name val="Arial"/>
    </font>
    <font>
      <name val="Calibri"/>
    </font>
    <font>
      <name val="Arial"/>
    </font>
    <font>
      <sz val="11"/>
      <name val="Arial"/>
    </font>
    <font>
      <color rgb="FF000000"/>
      <sz val="10"/>
      <name val="Arial"/>
    </font>
    <font>
      <i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bottom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vertical="bottom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vertical="bottom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4" fillId="0" borderId="1" xfId="0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10" fontId="4" fillId="0" borderId="1" xfId="0" applyNumberFormat="1" applyFont="1" applyBorder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FormatPr defaultRowHeight="15" outlineLevelRow="0" outlineLevelCol="0" x14ac:dyDescent="55"/>
  <cols>
    <col min="1" max="1" width="26" customWidth="1"/>
    <col min="2" max="2" width="42.142857142857146" customWidth="1"/>
    <col min="3" max="24" width="13.571428571428571" customWidth="1"/>
  </cols>
  <sheetData>
    <row r="1" ht="25.5" customHeight="1" spans="1:2" x14ac:dyDescent="0.25">
      <c r="A1" s="1" t="s">
        <v>0</v>
      </c>
      <c r="B1" s="1"/>
    </row>
    <row r="3" spans="1:2" x14ac:dyDescent="0.25">
      <c r="A3" s="2" t="s">
        <v>1</v>
      </c>
      <c r="B3" s="2" t="s">
        <v>2</v>
      </c>
    </row>
    <row r="4" ht="30" customHeight="1" spans="1:2" x14ac:dyDescent="0.25">
      <c r="A4" s="3" t="s">
        <v>3</v>
      </c>
      <c r="B4" s="4" t="s">
        <v>4</v>
      </c>
    </row>
    <row r="5" ht="30" customHeight="1" spans="1:2" x14ac:dyDescent="0.25">
      <c r="A5" s="3" t="s">
        <v>5</v>
      </c>
      <c r="B5" s="4" t="s">
        <v>6</v>
      </c>
    </row>
    <row r="6" ht="30" customHeight="1" spans="1:2" x14ac:dyDescent="0.25">
      <c r="A6" s="3" t="s">
        <v>7</v>
      </c>
      <c r="B6" s="4" t="s">
        <v>8</v>
      </c>
    </row>
    <row r="7" ht="30" customHeight="1" spans="1:2" x14ac:dyDescent="0.25">
      <c r="A7" s="3" t="s">
        <v>9</v>
      </c>
      <c r="B7" s="4" t="s">
        <v>10</v>
      </c>
    </row>
    <row r="8" ht="30" customHeight="1" spans="1:2" x14ac:dyDescent="0.25">
      <c r="A8" s="3" t="s">
        <v>11</v>
      </c>
      <c r="B8" s="4" t="s">
        <v>12</v>
      </c>
    </row>
    <row r="9" ht="30" customHeight="1" spans="1:2" x14ac:dyDescent="0.25">
      <c r="A9" s="3" t="s">
        <v>13</v>
      </c>
      <c r="B9" s="4" t="s">
        <v>14</v>
      </c>
    </row>
    <row r="10" ht="30" customHeight="1" spans="1:2" x14ac:dyDescent="0.25">
      <c r="A10" s="3" t="s">
        <v>15</v>
      </c>
      <c r="B10" s="4" t="s">
        <v>16</v>
      </c>
    </row>
    <row r="11" ht="30" customHeight="1" spans="1:2" x14ac:dyDescent="0.25">
      <c r="A11" s="3" t="s">
        <v>17</v>
      </c>
      <c r="B11" s="4" t="s">
        <v>18</v>
      </c>
    </row>
    <row r="12" ht="30" customHeight="1" spans="1:2" x14ac:dyDescent="0.25">
      <c r="A12" s="3" t="s">
        <v>19</v>
      </c>
      <c r="B12" s="4" t="s">
        <v>20</v>
      </c>
    </row>
    <row r="13" ht="30" customHeight="1" spans="1:2" x14ac:dyDescent="0.25">
      <c r="A13" s="3" t="s">
        <v>21</v>
      </c>
      <c r="B13" s="4" t="s">
        <v>22</v>
      </c>
    </row>
    <row r="14" ht="30" customHeight="1" spans="1:2" x14ac:dyDescent="0.25">
      <c r="A14" s="3" t="s">
        <v>23</v>
      </c>
      <c r="B14" s="4" t="s">
        <v>24</v>
      </c>
    </row>
    <row r="15" ht="30" customHeight="1" spans="1:2" x14ac:dyDescent="0.25">
      <c r="A15" s="3" t="s">
        <v>25</v>
      </c>
      <c r="B15" s="4" t="s">
        <v>26</v>
      </c>
    </row>
    <row r="16" ht="30" customHeight="1" spans="1:2" x14ac:dyDescent="0.25">
      <c r="A16" s="3" t="s">
        <v>27</v>
      </c>
      <c r="B16" s="4" t="s">
        <v>28</v>
      </c>
    </row>
    <row r="17" ht="30" customHeight="1" spans="1:2" x14ac:dyDescent="0.25">
      <c r="A17" s="3" t="s">
        <v>29</v>
      </c>
      <c r="B17" s="4" t="s">
        <v>30</v>
      </c>
    </row>
    <row r="18" ht="30" customHeight="1" spans="1:2" x14ac:dyDescent="0.25">
      <c r="A18" s="3" t="s">
        <v>31</v>
      </c>
      <c r="B18" s="4" t="s">
        <v>32</v>
      </c>
    </row>
    <row r="19" ht="30" customHeight="1" spans="1:2" x14ac:dyDescent="0.25">
      <c r="A19" s="3" t="s">
        <v>33</v>
      </c>
      <c r="B19" s="4" t="s">
        <v>34</v>
      </c>
    </row>
    <row r="20" ht="30" customHeight="1" spans="1:2" x14ac:dyDescent="0.25">
      <c r="A20" s="3" t="s">
        <v>35</v>
      </c>
      <c r="B20" s="4" t="s">
        <v>36</v>
      </c>
    </row>
    <row r="21" ht="30" customHeight="1" spans="1:2" x14ac:dyDescent="0.25">
      <c r="A21" s="3" t="s">
        <v>37</v>
      </c>
      <c r="B21" s="4" t="s">
        <v>38</v>
      </c>
    </row>
    <row r="22" ht="15.75" customHeight="1" x14ac:dyDescent="0.25"/>
    <row r="23" ht="15.75" customHeight="1" spans="1:2" x14ac:dyDescent="0.25">
      <c r="A23" s="5" t="s">
        <v>39</v>
      </c>
      <c r="B23" s="5"/>
    </row>
    <row r="24" ht="18" customHeight="1" spans="1:2" x14ac:dyDescent="0.25">
      <c r="A24" s="6" t="s">
        <v>40</v>
      </c>
      <c r="B24" s="6"/>
    </row>
    <row r="25" ht="18" customHeight="1" spans="1:2" x14ac:dyDescent="0.25">
      <c r="A25" s="6" t="s">
        <v>41</v>
      </c>
      <c r="B25" s="6"/>
    </row>
    <row r="26" ht="18" customHeight="1" spans="1:2" x14ac:dyDescent="0.25">
      <c r="A26" s="6" t="s">
        <v>42</v>
      </c>
      <c r="B26" s="6"/>
    </row>
    <row r="27" ht="18" customHeight="1" spans="1:2" x14ac:dyDescent="0.25">
      <c r="A27" s="6" t="s">
        <v>43</v>
      </c>
      <c r="B27" s="6"/>
    </row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B1"/>
    <mergeCell ref="A23:B23"/>
    <mergeCell ref="A24:B24"/>
    <mergeCell ref="A25:B25"/>
    <mergeCell ref="A26:B26"/>
    <mergeCell ref="A27:B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20" customWidth="1"/>
    <col min="5" max="5" width="14" customWidth="1"/>
    <col min="6" max="7" width="10" customWidth="1"/>
    <col min="8" max="8" width="26" customWidth="1"/>
    <col min="9" max="10" width="42.142857142857146" customWidth="1"/>
    <col min="11" max="12" width="28" customWidth="1"/>
    <col min="13" max="13" width="12" customWidth="1"/>
    <col min="14" max="16" width="14" customWidth="1"/>
    <col min="17" max="17" width="12" customWidth="1"/>
    <col min="18" max="18" width="24" customWidth="1"/>
    <col min="19" max="26" width="9.285714285714286" customWidth="1"/>
  </cols>
  <sheetData>
    <row r="1" ht="25.5" customHeight="1" spans="1:18" x14ac:dyDescent="0.25">
      <c r="A1" s="7" t="s">
        <v>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ht="15.75" customHeight="1" spans="1:18" x14ac:dyDescent="0.25">
      <c r="A2" s="8" t="s">
        <v>45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4" spans="1:26" x14ac:dyDescent="0.25">
      <c r="A4" s="9" t="s">
        <v>3</v>
      </c>
      <c r="B4" s="9" t="s">
        <v>5</v>
      </c>
      <c r="C4" s="9" t="s">
        <v>7</v>
      </c>
      <c r="D4" s="9" t="s">
        <v>9</v>
      </c>
      <c r="E4" s="9" t="s">
        <v>11</v>
      </c>
      <c r="F4" s="9" t="s">
        <v>13</v>
      </c>
      <c r="G4" s="9" t="s">
        <v>15</v>
      </c>
      <c r="H4" s="9" t="s">
        <v>17</v>
      </c>
      <c r="I4" s="9" t="s">
        <v>19</v>
      </c>
      <c r="J4" s="9" t="s">
        <v>21</v>
      </c>
      <c r="K4" s="9" t="s">
        <v>23</v>
      </c>
      <c r="L4" s="9" t="s">
        <v>25</v>
      </c>
      <c r="M4" s="9" t="s">
        <v>27</v>
      </c>
      <c r="N4" s="9" t="s">
        <v>29</v>
      </c>
      <c r="O4" s="9" t="s">
        <v>31</v>
      </c>
      <c r="P4" s="9" t="s">
        <v>33</v>
      </c>
      <c r="Q4" s="9" t="s">
        <v>35</v>
      </c>
      <c r="R4" s="9" t="s">
        <v>37</v>
      </c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11" t="s">
        <v>46</v>
      </c>
      <c r="B5" s="12" t="s">
        <v>47</v>
      </c>
      <c r="C5" s="13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13" t="s">
        <v>53</v>
      </c>
      <c r="I5" s="4" t="s">
        <v>54</v>
      </c>
      <c r="J5" s="4" t="s">
        <v>55</v>
      </c>
      <c r="K5" s="4" t="s">
        <v>56</v>
      </c>
      <c r="L5" s="4" t="s">
        <v>57</v>
      </c>
      <c r="M5" s="4" t="s">
        <v>58</v>
      </c>
      <c r="N5" s="4" t="s">
        <v>59</v>
      </c>
      <c r="O5" s="14" t="s">
        <v>60</v>
      </c>
      <c r="P5" s="14" t="s">
        <v>61</v>
      </c>
      <c r="Q5" s="4"/>
      <c r="R5" s="4" t="s">
        <v>62</v>
      </c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1" t="s">
        <v>63</v>
      </c>
      <c r="B6" s="12" t="s">
        <v>47</v>
      </c>
      <c r="C6" s="13" t="s">
        <v>64</v>
      </c>
      <c r="D6" s="4" t="s">
        <v>49</v>
      </c>
      <c r="E6" s="4" t="s">
        <v>50</v>
      </c>
      <c r="F6" s="4" t="s">
        <v>51</v>
      </c>
      <c r="G6" s="4" t="s">
        <v>65</v>
      </c>
      <c r="H6" s="13" t="s">
        <v>66</v>
      </c>
      <c r="I6" s="4" t="s">
        <v>67</v>
      </c>
      <c r="J6" s="4" t="s">
        <v>68</v>
      </c>
      <c r="K6" s="4" t="s">
        <v>69</v>
      </c>
      <c r="L6" s="4" t="s">
        <v>70</v>
      </c>
      <c r="M6" s="4" t="s">
        <v>71</v>
      </c>
      <c r="N6" s="4" t="s">
        <v>59</v>
      </c>
      <c r="O6" s="14" t="s">
        <v>60</v>
      </c>
      <c r="P6" s="14" t="s">
        <v>61</v>
      </c>
      <c r="Q6" s="4"/>
      <c r="R6" s="4" t="s">
        <v>72</v>
      </c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1" t="s">
        <v>73</v>
      </c>
      <c r="B7" s="15" t="s">
        <v>47</v>
      </c>
      <c r="C7" s="13" t="s">
        <v>74</v>
      </c>
      <c r="D7" s="4" t="s">
        <v>49</v>
      </c>
      <c r="E7" s="4" t="s">
        <v>50</v>
      </c>
      <c r="F7" s="4" t="s">
        <v>75</v>
      </c>
      <c r="G7" s="4" t="s">
        <v>76</v>
      </c>
      <c r="H7" s="13" t="s">
        <v>77</v>
      </c>
      <c r="I7" s="4" t="s">
        <v>78</v>
      </c>
      <c r="J7" s="4" t="s">
        <v>79</v>
      </c>
      <c r="K7" s="4" t="s">
        <v>80</v>
      </c>
      <c r="L7" s="4" t="s">
        <v>81</v>
      </c>
      <c r="M7" s="4" t="s">
        <v>71</v>
      </c>
      <c r="N7" s="4" t="s">
        <v>59</v>
      </c>
      <c r="O7" s="14" t="s">
        <v>60</v>
      </c>
      <c r="P7" s="14" t="s">
        <v>61</v>
      </c>
      <c r="Q7" s="4"/>
      <c r="R7" s="4" t="s">
        <v>82</v>
      </c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16" t="s">
        <v>83</v>
      </c>
      <c r="B8" s="12" t="s">
        <v>84</v>
      </c>
      <c r="C8" s="13" t="s">
        <v>85</v>
      </c>
      <c r="D8" s="4" t="s">
        <v>86</v>
      </c>
      <c r="E8" s="4" t="s">
        <v>50</v>
      </c>
      <c r="F8" s="4" t="s">
        <v>51</v>
      </c>
      <c r="G8" s="4" t="s">
        <v>52</v>
      </c>
      <c r="H8" s="13" t="s">
        <v>87</v>
      </c>
      <c r="I8" s="4" t="s">
        <v>88</v>
      </c>
      <c r="J8" s="4" t="s">
        <v>89</v>
      </c>
      <c r="K8" s="4" t="s">
        <v>90</v>
      </c>
      <c r="L8" s="4" t="s">
        <v>91</v>
      </c>
      <c r="M8" s="4" t="s">
        <v>58</v>
      </c>
      <c r="N8" s="4" t="s">
        <v>59</v>
      </c>
      <c r="O8" s="14" t="s">
        <v>60</v>
      </c>
      <c r="P8" s="14" t="s">
        <v>61</v>
      </c>
      <c r="Q8" s="4"/>
      <c r="R8" s="4" t="s">
        <v>62</v>
      </c>
      <c r="S8" s="10"/>
      <c r="T8" s="10"/>
      <c r="U8" s="10"/>
      <c r="V8" s="10"/>
      <c r="W8" s="10"/>
      <c r="X8" s="10"/>
      <c r="Y8" s="10"/>
      <c r="Z8" s="10"/>
    </row>
    <row r="9" spans="1:26" x14ac:dyDescent="0.25">
      <c r="A9" s="16" t="s">
        <v>92</v>
      </c>
      <c r="B9" s="12" t="s">
        <v>84</v>
      </c>
      <c r="C9" s="13" t="s">
        <v>93</v>
      </c>
      <c r="D9" s="4" t="s">
        <v>86</v>
      </c>
      <c r="E9" s="4" t="s">
        <v>50</v>
      </c>
      <c r="F9" s="4" t="s">
        <v>51</v>
      </c>
      <c r="G9" s="4" t="s">
        <v>65</v>
      </c>
      <c r="H9" s="13" t="s">
        <v>94</v>
      </c>
      <c r="I9" s="4" t="s">
        <v>95</v>
      </c>
      <c r="J9" s="4" t="s">
        <v>96</v>
      </c>
      <c r="K9" s="4" t="s">
        <v>97</v>
      </c>
      <c r="L9" s="4" t="s">
        <v>98</v>
      </c>
      <c r="M9" s="4" t="s">
        <v>58</v>
      </c>
      <c r="N9" s="4" t="s">
        <v>59</v>
      </c>
      <c r="O9" s="14" t="s">
        <v>60</v>
      </c>
      <c r="P9" s="14" t="s">
        <v>61</v>
      </c>
      <c r="Q9" s="4"/>
      <c r="R9" s="4" t="s">
        <v>72</v>
      </c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16" t="s">
        <v>99</v>
      </c>
      <c r="B10" s="12" t="s">
        <v>84</v>
      </c>
      <c r="C10" s="13" t="s">
        <v>100</v>
      </c>
      <c r="D10" s="4" t="s">
        <v>86</v>
      </c>
      <c r="E10" s="4" t="s">
        <v>50</v>
      </c>
      <c r="F10" s="4" t="s">
        <v>101</v>
      </c>
      <c r="G10" s="4" t="s">
        <v>76</v>
      </c>
      <c r="H10" s="13" t="s">
        <v>94</v>
      </c>
      <c r="I10" s="4" t="s">
        <v>102</v>
      </c>
      <c r="J10" s="4" t="s">
        <v>103</v>
      </c>
      <c r="K10" s="17" t="s">
        <v>104</v>
      </c>
      <c r="L10" s="4" t="s">
        <v>105</v>
      </c>
      <c r="M10" s="4" t="s">
        <v>58</v>
      </c>
      <c r="N10" s="4" t="s">
        <v>59</v>
      </c>
      <c r="O10" s="14" t="s">
        <v>60</v>
      </c>
      <c r="P10" s="14" t="s">
        <v>61</v>
      </c>
      <c r="Q10" s="4"/>
      <c r="R10" s="4" t="s">
        <v>82</v>
      </c>
      <c r="S10" s="10"/>
      <c r="T10" s="10"/>
      <c r="U10" s="10"/>
      <c r="V10" s="10"/>
      <c r="W10" s="10"/>
      <c r="X10" s="10"/>
      <c r="Y10" s="10"/>
      <c r="Z10" s="10"/>
    </row>
    <row r="11" spans="1:26" x14ac:dyDescent="0.25">
      <c r="A11" s="11" t="s">
        <v>106</v>
      </c>
      <c r="B11" s="12" t="s">
        <v>107</v>
      </c>
      <c r="C11" s="13" t="s">
        <v>108</v>
      </c>
      <c r="D11" s="4" t="s">
        <v>109</v>
      </c>
      <c r="E11" s="4" t="s">
        <v>50</v>
      </c>
      <c r="F11" s="4" t="s">
        <v>51</v>
      </c>
      <c r="G11" s="4" t="s">
        <v>52</v>
      </c>
      <c r="H11" s="13" t="s">
        <v>110</v>
      </c>
      <c r="I11" s="4" t="s">
        <v>111</v>
      </c>
      <c r="J11" s="4" t="s">
        <v>112</v>
      </c>
      <c r="K11" s="4" t="s">
        <v>113</v>
      </c>
      <c r="L11" s="4" t="s">
        <v>114</v>
      </c>
      <c r="M11" s="4" t="s">
        <v>71</v>
      </c>
      <c r="N11" s="4" t="s">
        <v>59</v>
      </c>
      <c r="O11" s="14" t="s">
        <v>60</v>
      </c>
      <c r="P11" s="14" t="s">
        <v>61</v>
      </c>
      <c r="Q11" s="4"/>
      <c r="R11" s="4" t="s">
        <v>62</v>
      </c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1" t="s">
        <v>115</v>
      </c>
      <c r="B12" s="12" t="s">
        <v>107</v>
      </c>
      <c r="C12" s="17" t="s">
        <v>116</v>
      </c>
      <c r="D12" s="4" t="s">
        <v>109</v>
      </c>
      <c r="E12" s="4" t="s">
        <v>50</v>
      </c>
      <c r="F12" s="4" t="s">
        <v>51</v>
      </c>
      <c r="G12" s="4" t="s">
        <v>76</v>
      </c>
      <c r="H12" s="13" t="s">
        <v>117</v>
      </c>
      <c r="I12" s="4" t="s">
        <v>118</v>
      </c>
      <c r="J12" s="4" t="s">
        <v>119</v>
      </c>
      <c r="K12" s="4" t="s">
        <v>120</v>
      </c>
      <c r="L12" s="4" t="s">
        <v>121</v>
      </c>
      <c r="M12" s="4" t="s">
        <v>71</v>
      </c>
      <c r="N12" s="4" t="s">
        <v>59</v>
      </c>
      <c r="O12" s="14" t="s">
        <v>60</v>
      </c>
      <c r="P12" s="14" t="s">
        <v>61</v>
      </c>
      <c r="Q12" s="4"/>
      <c r="R12" s="4" t="s">
        <v>72</v>
      </c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1" t="s">
        <v>122</v>
      </c>
      <c r="B13" s="12" t="s">
        <v>107</v>
      </c>
      <c r="C13" s="4" t="s">
        <v>123</v>
      </c>
      <c r="D13" s="4" t="s">
        <v>109</v>
      </c>
      <c r="E13" s="4" t="s">
        <v>124</v>
      </c>
      <c r="F13" s="4" t="s">
        <v>51</v>
      </c>
      <c r="G13" s="4" t="s">
        <v>65</v>
      </c>
      <c r="H13" s="13" t="s">
        <v>125</v>
      </c>
      <c r="I13" s="4" t="s">
        <v>126</v>
      </c>
      <c r="J13" s="4" t="s">
        <v>127</v>
      </c>
      <c r="K13" s="4" t="s">
        <v>128</v>
      </c>
      <c r="L13" s="4" t="s">
        <v>129</v>
      </c>
      <c r="M13" s="4" t="s">
        <v>71</v>
      </c>
      <c r="N13" s="4" t="s">
        <v>59</v>
      </c>
      <c r="O13" s="14" t="s">
        <v>60</v>
      </c>
      <c r="P13" s="14" t="s">
        <v>61</v>
      </c>
      <c r="Q13" s="4"/>
      <c r="R13" s="4" t="s">
        <v>82</v>
      </c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6" t="s">
        <v>130</v>
      </c>
      <c r="B14" s="12" t="s">
        <v>131</v>
      </c>
      <c r="C14" s="4" t="s">
        <v>132</v>
      </c>
      <c r="D14" s="4" t="s">
        <v>133</v>
      </c>
      <c r="E14" s="4" t="s">
        <v>50</v>
      </c>
      <c r="F14" s="4" t="s">
        <v>51</v>
      </c>
      <c r="G14" s="4" t="s">
        <v>65</v>
      </c>
      <c r="H14" s="4" t="s">
        <v>134</v>
      </c>
      <c r="I14" s="4" t="s">
        <v>135</v>
      </c>
      <c r="J14" s="4" t="s">
        <v>136</v>
      </c>
      <c r="K14" s="4" t="s">
        <v>137</v>
      </c>
      <c r="L14" s="4" t="s">
        <v>138</v>
      </c>
      <c r="M14" s="4" t="s">
        <v>71</v>
      </c>
      <c r="N14" s="4" t="s">
        <v>59</v>
      </c>
      <c r="O14" s="14" t="s">
        <v>60</v>
      </c>
      <c r="P14" s="14" t="s">
        <v>61</v>
      </c>
      <c r="Q14" s="4"/>
      <c r="R14" s="4" t="s">
        <v>62</v>
      </c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16" t="s">
        <v>139</v>
      </c>
      <c r="B15" s="12" t="s">
        <v>131</v>
      </c>
      <c r="C15" s="4" t="s">
        <v>140</v>
      </c>
      <c r="D15" s="4" t="s">
        <v>133</v>
      </c>
      <c r="E15" s="4" t="s">
        <v>50</v>
      </c>
      <c r="F15" s="4" t="s">
        <v>75</v>
      </c>
      <c r="G15" s="4" t="s">
        <v>76</v>
      </c>
      <c r="H15" s="4" t="s">
        <v>141</v>
      </c>
      <c r="I15" s="4" t="s">
        <v>135</v>
      </c>
      <c r="J15" s="4" t="s">
        <v>142</v>
      </c>
      <c r="K15" s="4" t="s">
        <v>143</v>
      </c>
      <c r="L15" s="4" t="s">
        <v>144</v>
      </c>
      <c r="M15" s="4" t="s">
        <v>58</v>
      </c>
      <c r="N15" s="4" t="s">
        <v>59</v>
      </c>
      <c r="O15" s="14" t="s">
        <v>60</v>
      </c>
      <c r="P15" s="14" t="s">
        <v>61</v>
      </c>
      <c r="Q15" s="4"/>
      <c r="R15" s="4" t="s">
        <v>72</v>
      </c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16" t="s">
        <v>145</v>
      </c>
      <c r="B16" s="12" t="s">
        <v>131</v>
      </c>
      <c r="C16" s="4" t="s">
        <v>146</v>
      </c>
      <c r="D16" s="4" t="s">
        <v>133</v>
      </c>
      <c r="E16" s="4" t="s">
        <v>124</v>
      </c>
      <c r="F16" s="4" t="s">
        <v>51</v>
      </c>
      <c r="G16" s="4" t="s">
        <v>65</v>
      </c>
      <c r="H16" s="4" t="s">
        <v>147</v>
      </c>
      <c r="I16" s="4" t="s">
        <v>135</v>
      </c>
      <c r="J16" s="4" t="s">
        <v>148</v>
      </c>
      <c r="K16" s="4" t="s">
        <v>149</v>
      </c>
      <c r="L16" s="4" t="s">
        <v>150</v>
      </c>
      <c r="M16" s="4" t="s">
        <v>71</v>
      </c>
      <c r="N16" s="4" t="s">
        <v>59</v>
      </c>
      <c r="O16" s="14" t="s">
        <v>60</v>
      </c>
      <c r="P16" s="14" t="s">
        <v>61</v>
      </c>
      <c r="Q16" s="4"/>
      <c r="R16" s="4" t="s">
        <v>82</v>
      </c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1" t="s">
        <v>151</v>
      </c>
      <c r="B17" s="12" t="s">
        <v>152</v>
      </c>
      <c r="C17" s="4" t="s">
        <v>153</v>
      </c>
      <c r="D17" s="4" t="s">
        <v>154</v>
      </c>
      <c r="E17" s="4" t="s">
        <v>50</v>
      </c>
      <c r="F17" s="4" t="s">
        <v>51</v>
      </c>
      <c r="G17" s="4" t="s">
        <v>65</v>
      </c>
      <c r="H17" s="4" t="s">
        <v>155</v>
      </c>
      <c r="I17" s="4" t="s">
        <v>156</v>
      </c>
      <c r="J17" s="4" t="s">
        <v>157</v>
      </c>
      <c r="K17" s="4" t="s">
        <v>158</v>
      </c>
      <c r="L17" s="4" t="s">
        <v>159</v>
      </c>
      <c r="M17" s="4" t="s">
        <v>71</v>
      </c>
      <c r="N17" s="4" t="s">
        <v>59</v>
      </c>
      <c r="O17" s="14" t="s">
        <v>60</v>
      </c>
      <c r="P17" s="14" t="s">
        <v>61</v>
      </c>
      <c r="Q17" s="4"/>
      <c r="R17" s="4" t="s">
        <v>62</v>
      </c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11" t="s">
        <v>160</v>
      </c>
      <c r="B18" s="12" t="s">
        <v>152</v>
      </c>
      <c r="C18" s="4" t="s">
        <v>161</v>
      </c>
      <c r="D18" s="4" t="s">
        <v>154</v>
      </c>
      <c r="E18" s="4" t="s">
        <v>50</v>
      </c>
      <c r="F18" s="4" t="s">
        <v>75</v>
      </c>
      <c r="G18" s="4" t="s">
        <v>76</v>
      </c>
      <c r="H18" s="4" t="s">
        <v>162</v>
      </c>
      <c r="I18" s="4" t="s">
        <v>163</v>
      </c>
      <c r="J18" s="4" t="s">
        <v>164</v>
      </c>
      <c r="K18" s="4" t="s">
        <v>165</v>
      </c>
      <c r="L18" s="4" t="s">
        <v>166</v>
      </c>
      <c r="M18" s="4" t="s">
        <v>58</v>
      </c>
      <c r="N18" s="4" t="s">
        <v>59</v>
      </c>
      <c r="O18" s="14" t="s">
        <v>60</v>
      </c>
      <c r="P18" s="14" t="s">
        <v>61</v>
      </c>
      <c r="Q18" s="4"/>
      <c r="R18" s="4" t="s">
        <v>72</v>
      </c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11" t="s">
        <v>167</v>
      </c>
      <c r="B19" s="12" t="s">
        <v>152</v>
      </c>
      <c r="C19" s="4" t="s">
        <v>168</v>
      </c>
      <c r="D19" s="4" t="s">
        <v>154</v>
      </c>
      <c r="E19" s="4" t="s">
        <v>124</v>
      </c>
      <c r="F19" s="4" t="s">
        <v>51</v>
      </c>
      <c r="G19" s="4" t="s">
        <v>65</v>
      </c>
      <c r="H19" s="4" t="s">
        <v>169</v>
      </c>
      <c r="I19" s="4" t="s">
        <v>170</v>
      </c>
      <c r="J19" s="4" t="s">
        <v>171</v>
      </c>
      <c r="K19" s="4" t="s">
        <v>172</v>
      </c>
      <c r="L19" s="4" t="s">
        <v>173</v>
      </c>
      <c r="M19" s="4" t="s">
        <v>58</v>
      </c>
      <c r="N19" s="4" t="s">
        <v>59</v>
      </c>
      <c r="O19" s="14" t="s">
        <v>60</v>
      </c>
      <c r="P19" s="14" t="s">
        <v>61</v>
      </c>
      <c r="Q19" s="4"/>
      <c r="R19" s="4" t="s">
        <v>82</v>
      </c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11" t="s">
        <v>174</v>
      </c>
      <c r="B20" s="12" t="s">
        <v>175</v>
      </c>
      <c r="C20" s="4" t="s">
        <v>176</v>
      </c>
      <c r="D20" s="4" t="s">
        <v>177</v>
      </c>
      <c r="E20" s="4" t="s">
        <v>50</v>
      </c>
      <c r="F20" s="4" t="s">
        <v>51</v>
      </c>
      <c r="G20" s="4" t="s">
        <v>65</v>
      </c>
      <c r="H20" s="4" t="s">
        <v>178</v>
      </c>
      <c r="I20" s="4" t="s">
        <v>179</v>
      </c>
      <c r="J20" s="4" t="s">
        <v>180</v>
      </c>
      <c r="K20" s="4" t="s">
        <v>181</v>
      </c>
      <c r="L20" s="4" t="s">
        <v>182</v>
      </c>
      <c r="M20" s="4" t="s">
        <v>71</v>
      </c>
      <c r="N20" s="4" t="s">
        <v>59</v>
      </c>
      <c r="O20" s="4" t="s">
        <v>60</v>
      </c>
      <c r="P20" s="4" t="s">
        <v>61</v>
      </c>
      <c r="Q20" s="4"/>
      <c r="R20" s="4" t="s">
        <v>62</v>
      </c>
      <c r="S20" s="10"/>
      <c r="T20" s="10"/>
      <c r="U20" s="10"/>
      <c r="V20" s="10"/>
      <c r="W20" s="10"/>
      <c r="X20" s="10"/>
      <c r="Y20" s="10"/>
      <c r="Z20" s="10"/>
    </row>
    <row r="21" spans="1:26" x14ac:dyDescent="0.25">
      <c r="A21" s="11" t="s">
        <v>183</v>
      </c>
      <c r="B21" s="12" t="s">
        <v>175</v>
      </c>
      <c r="C21" s="4" t="s">
        <v>184</v>
      </c>
      <c r="D21" s="4" t="s">
        <v>177</v>
      </c>
      <c r="E21" s="4" t="s">
        <v>50</v>
      </c>
      <c r="F21" s="4" t="s">
        <v>51</v>
      </c>
      <c r="G21" s="4" t="s">
        <v>65</v>
      </c>
      <c r="H21" s="4" t="s">
        <v>185</v>
      </c>
      <c r="I21" s="4" t="s">
        <v>186</v>
      </c>
      <c r="J21" s="4" t="s">
        <v>187</v>
      </c>
      <c r="K21" s="4" t="s">
        <v>188</v>
      </c>
      <c r="L21" s="4" t="s">
        <v>189</v>
      </c>
      <c r="M21" s="4" t="s">
        <v>58</v>
      </c>
      <c r="N21" s="4" t="s">
        <v>59</v>
      </c>
      <c r="O21" s="4" t="s">
        <v>60</v>
      </c>
      <c r="P21" s="4" t="s">
        <v>61</v>
      </c>
      <c r="Q21" s="4"/>
      <c r="R21" s="4" t="s">
        <v>72</v>
      </c>
      <c r="S21" s="10"/>
      <c r="T21" s="10"/>
      <c r="U21" s="10"/>
      <c r="V21" s="10"/>
      <c r="W21" s="10"/>
      <c r="X21" s="10"/>
      <c r="Y21" s="10"/>
      <c r="Z21" s="10"/>
    </row>
    <row r="22" spans="1:26" x14ac:dyDescent="0.25">
      <c r="A22" s="11" t="s">
        <v>190</v>
      </c>
      <c r="B22" s="12" t="s">
        <v>175</v>
      </c>
      <c r="C22" s="4" t="s">
        <v>191</v>
      </c>
      <c r="D22" s="4" t="s">
        <v>177</v>
      </c>
      <c r="E22" s="4" t="s">
        <v>50</v>
      </c>
      <c r="F22" s="4" t="s">
        <v>75</v>
      </c>
      <c r="G22" s="4" t="s">
        <v>76</v>
      </c>
      <c r="H22" s="4" t="s">
        <v>185</v>
      </c>
      <c r="I22" s="4" t="s">
        <v>192</v>
      </c>
      <c r="J22" s="4" t="s">
        <v>193</v>
      </c>
      <c r="K22" s="4" t="s">
        <v>194</v>
      </c>
      <c r="L22" s="4" t="s">
        <v>195</v>
      </c>
      <c r="M22" s="4" t="s">
        <v>58</v>
      </c>
      <c r="N22" s="4" t="s">
        <v>59</v>
      </c>
      <c r="O22" s="4" t="s">
        <v>60</v>
      </c>
      <c r="P22" s="4" t="s">
        <v>61</v>
      </c>
      <c r="Q22" s="4"/>
      <c r="R22" s="4" t="s">
        <v>82</v>
      </c>
      <c r="S22" s="10"/>
      <c r="T22" s="10"/>
      <c r="U22" s="10"/>
      <c r="V22" s="10"/>
      <c r="W22" s="10"/>
      <c r="X22" s="10"/>
      <c r="Y22" s="10"/>
      <c r="Z22" s="10"/>
    </row>
    <row r="23" spans="1:26" x14ac:dyDescent="0.25">
      <c r="A23" s="11" t="s">
        <v>196</v>
      </c>
      <c r="B23" s="12" t="s">
        <v>197</v>
      </c>
      <c r="C23" s="4" t="s">
        <v>198</v>
      </c>
      <c r="D23" s="4" t="s">
        <v>199</v>
      </c>
      <c r="E23" s="4" t="s">
        <v>50</v>
      </c>
      <c r="F23" s="4" t="s">
        <v>51</v>
      </c>
      <c r="G23" s="4" t="s">
        <v>52</v>
      </c>
      <c r="H23" s="4" t="s">
        <v>200</v>
      </c>
      <c r="I23" s="4" t="s">
        <v>201</v>
      </c>
      <c r="J23" s="4" t="s">
        <v>202</v>
      </c>
      <c r="K23" s="4" t="s">
        <v>203</v>
      </c>
      <c r="L23" s="4" t="s">
        <v>204</v>
      </c>
      <c r="M23" s="4" t="s">
        <v>71</v>
      </c>
      <c r="N23" s="4" t="s">
        <v>59</v>
      </c>
      <c r="O23" s="4" t="s">
        <v>60</v>
      </c>
      <c r="P23" s="4" t="s">
        <v>61</v>
      </c>
      <c r="Q23" s="4"/>
      <c r="R23" s="4" t="s">
        <v>62</v>
      </c>
      <c r="S23" s="10"/>
      <c r="T23" s="10"/>
      <c r="U23" s="10"/>
      <c r="V23" s="10"/>
      <c r="W23" s="10"/>
      <c r="X23" s="10"/>
      <c r="Y23" s="10"/>
      <c r="Z23" s="10"/>
    </row>
    <row r="24" spans="1:26" x14ac:dyDescent="0.25">
      <c r="A24" s="11" t="s">
        <v>205</v>
      </c>
      <c r="B24" s="12" t="s">
        <v>197</v>
      </c>
      <c r="C24" s="4" t="s">
        <v>206</v>
      </c>
      <c r="D24" s="4" t="s">
        <v>199</v>
      </c>
      <c r="E24" s="4" t="s">
        <v>124</v>
      </c>
      <c r="F24" s="4" t="s">
        <v>51</v>
      </c>
      <c r="G24" s="4" t="s">
        <v>52</v>
      </c>
      <c r="H24" s="4" t="s">
        <v>207</v>
      </c>
      <c r="I24" s="4" t="s">
        <v>135</v>
      </c>
      <c r="J24" s="4" t="s">
        <v>208</v>
      </c>
      <c r="K24" s="4" t="s">
        <v>209</v>
      </c>
      <c r="L24" s="4" t="s">
        <v>210</v>
      </c>
      <c r="M24" s="4" t="s">
        <v>71</v>
      </c>
      <c r="N24" s="4" t="s">
        <v>59</v>
      </c>
      <c r="O24" s="4" t="s">
        <v>60</v>
      </c>
      <c r="P24" s="4" t="s">
        <v>61</v>
      </c>
      <c r="Q24" s="4"/>
      <c r="R24" s="4" t="s">
        <v>72</v>
      </c>
      <c r="S24" s="10"/>
      <c r="T24" s="10"/>
      <c r="U24" s="10"/>
      <c r="V24" s="10"/>
      <c r="W24" s="10"/>
      <c r="X24" s="10"/>
      <c r="Y24" s="10"/>
      <c r="Z24" s="10"/>
    </row>
    <row r="25" spans="1:26" x14ac:dyDescent="0.25">
      <c r="A25" s="11" t="s">
        <v>211</v>
      </c>
      <c r="B25" s="12" t="s">
        <v>197</v>
      </c>
      <c r="C25" s="4" t="s">
        <v>212</v>
      </c>
      <c r="D25" s="4" t="s">
        <v>199</v>
      </c>
      <c r="E25" s="4" t="s">
        <v>124</v>
      </c>
      <c r="F25" s="4" t="s">
        <v>51</v>
      </c>
      <c r="G25" s="4" t="s">
        <v>52</v>
      </c>
      <c r="H25" s="4" t="s">
        <v>213</v>
      </c>
      <c r="I25" s="4" t="s">
        <v>214</v>
      </c>
      <c r="J25" s="4" t="s">
        <v>215</v>
      </c>
      <c r="K25" s="4" t="s">
        <v>216</v>
      </c>
      <c r="L25" s="4" t="s">
        <v>217</v>
      </c>
      <c r="M25" s="4" t="s">
        <v>71</v>
      </c>
      <c r="N25" s="4" t="s">
        <v>59</v>
      </c>
      <c r="O25" s="4" t="s">
        <v>60</v>
      </c>
      <c r="P25" s="4" t="s">
        <v>61</v>
      </c>
      <c r="Q25" s="4"/>
      <c r="R25" s="4" t="s">
        <v>82</v>
      </c>
      <c r="S25" s="10"/>
      <c r="T25" s="10"/>
      <c r="U25" s="10"/>
      <c r="V25" s="10"/>
      <c r="W25" s="10"/>
      <c r="X25" s="10"/>
      <c r="Y25" s="10"/>
      <c r="Z25" s="10"/>
    </row>
    <row r="26" spans="1:26" x14ac:dyDescent="0.25">
      <c r="A26" s="11" t="s">
        <v>218</v>
      </c>
      <c r="B26" s="18" t="s">
        <v>219</v>
      </c>
      <c r="C26" s="4" t="s">
        <v>220</v>
      </c>
      <c r="D26" s="4" t="s">
        <v>221</v>
      </c>
      <c r="E26" s="4" t="s">
        <v>50</v>
      </c>
      <c r="F26" s="4" t="s">
        <v>75</v>
      </c>
      <c r="G26" s="4" t="s">
        <v>76</v>
      </c>
      <c r="H26" s="4" t="s">
        <v>222</v>
      </c>
      <c r="I26" s="4" t="s">
        <v>223</v>
      </c>
      <c r="J26" s="4" t="s">
        <v>224</v>
      </c>
      <c r="K26" s="4" t="s">
        <v>225</v>
      </c>
      <c r="L26" s="4" t="s">
        <v>226</v>
      </c>
      <c r="M26" s="4" t="s">
        <v>71</v>
      </c>
      <c r="N26" s="4" t="s">
        <v>59</v>
      </c>
      <c r="O26" s="4" t="s">
        <v>60</v>
      </c>
      <c r="P26" s="4" t="s">
        <v>61</v>
      </c>
      <c r="Q26" s="4"/>
      <c r="R26" s="4" t="s">
        <v>62</v>
      </c>
      <c r="S26" s="10"/>
      <c r="T26" s="10"/>
      <c r="U26" s="10"/>
      <c r="V26" s="10"/>
      <c r="W26" s="10"/>
      <c r="X26" s="10"/>
      <c r="Y26" s="10"/>
      <c r="Z26" s="10"/>
    </row>
    <row r="27" spans="1:26" x14ac:dyDescent="0.25">
      <c r="A27" s="11" t="s">
        <v>227</v>
      </c>
      <c r="B27" s="18" t="s">
        <v>219</v>
      </c>
      <c r="C27" s="4" t="s">
        <v>228</v>
      </c>
      <c r="D27" s="4" t="s">
        <v>221</v>
      </c>
      <c r="E27" s="4" t="s">
        <v>50</v>
      </c>
      <c r="F27" s="4" t="s">
        <v>51</v>
      </c>
      <c r="G27" s="4" t="s">
        <v>65</v>
      </c>
      <c r="H27" s="4" t="s">
        <v>229</v>
      </c>
      <c r="I27" s="4" t="s">
        <v>135</v>
      </c>
      <c r="J27" s="4" t="s">
        <v>230</v>
      </c>
      <c r="K27" s="4" t="s">
        <v>231</v>
      </c>
      <c r="L27" s="4" t="s">
        <v>232</v>
      </c>
      <c r="M27" s="4" t="s">
        <v>71</v>
      </c>
      <c r="N27" s="4" t="s">
        <v>59</v>
      </c>
      <c r="O27" s="4" t="s">
        <v>60</v>
      </c>
      <c r="P27" s="4" t="s">
        <v>61</v>
      </c>
      <c r="Q27" s="4"/>
      <c r="R27" s="4" t="s">
        <v>72</v>
      </c>
      <c r="S27" s="10"/>
      <c r="T27" s="10"/>
      <c r="U27" s="10"/>
      <c r="V27" s="10"/>
      <c r="W27" s="10"/>
      <c r="X27" s="10"/>
      <c r="Y27" s="10"/>
      <c r="Z27" s="10"/>
    </row>
    <row r="28" spans="1:26" x14ac:dyDescent="0.25">
      <c r="A28" s="11" t="s">
        <v>233</v>
      </c>
      <c r="B28" s="18" t="s">
        <v>219</v>
      </c>
      <c r="C28" s="4" t="s">
        <v>234</v>
      </c>
      <c r="D28" s="4" t="s">
        <v>221</v>
      </c>
      <c r="E28" s="4" t="s">
        <v>50</v>
      </c>
      <c r="F28" s="4" t="s">
        <v>101</v>
      </c>
      <c r="G28" s="4" t="s">
        <v>235</v>
      </c>
      <c r="H28" s="4" t="s">
        <v>236</v>
      </c>
      <c r="I28" s="4" t="s">
        <v>237</v>
      </c>
      <c r="J28" s="4" t="s">
        <v>238</v>
      </c>
      <c r="K28" s="4" t="s">
        <v>239</v>
      </c>
      <c r="L28" s="4" t="s">
        <v>240</v>
      </c>
      <c r="M28" s="4" t="s">
        <v>71</v>
      </c>
      <c r="N28" s="4" t="s">
        <v>59</v>
      </c>
      <c r="O28" s="4" t="s">
        <v>60</v>
      </c>
      <c r="P28" s="4" t="s">
        <v>61</v>
      </c>
      <c r="Q28" s="4"/>
      <c r="R28" s="4" t="s">
        <v>82</v>
      </c>
      <c r="S28" s="10"/>
      <c r="T28" s="10"/>
      <c r="U28" s="10"/>
      <c r="V28" s="10"/>
      <c r="W28" s="10"/>
      <c r="X28" s="10"/>
      <c r="Y28" s="10"/>
      <c r="Z28" s="10"/>
    </row>
    <row r="29" spans="1:26" x14ac:dyDescent="0.25">
      <c r="A29" s="11" t="s">
        <v>241</v>
      </c>
      <c r="B29" s="18" t="s">
        <v>242</v>
      </c>
      <c r="C29" s="4" t="s">
        <v>243</v>
      </c>
      <c r="D29" s="4" t="s">
        <v>244</v>
      </c>
      <c r="E29" s="4" t="s">
        <v>50</v>
      </c>
      <c r="F29" s="4" t="s">
        <v>51</v>
      </c>
      <c r="G29" s="4" t="s">
        <v>65</v>
      </c>
      <c r="H29" s="4" t="s">
        <v>245</v>
      </c>
      <c r="I29" s="4" t="s">
        <v>246</v>
      </c>
      <c r="J29" s="4" t="s">
        <v>247</v>
      </c>
      <c r="K29" s="4" t="s">
        <v>248</v>
      </c>
      <c r="L29" s="4" t="s">
        <v>249</v>
      </c>
      <c r="M29" s="4" t="s">
        <v>71</v>
      </c>
      <c r="N29" s="4" t="s">
        <v>59</v>
      </c>
      <c r="O29" s="4" t="s">
        <v>60</v>
      </c>
      <c r="P29" s="4" t="s">
        <v>61</v>
      </c>
      <c r="Q29" s="4"/>
      <c r="R29" s="4" t="s">
        <v>62</v>
      </c>
      <c r="S29" s="10"/>
      <c r="T29" s="10"/>
      <c r="U29" s="10"/>
      <c r="V29" s="10"/>
      <c r="W29" s="10"/>
      <c r="X29" s="10"/>
      <c r="Y29" s="10"/>
      <c r="Z29" s="10"/>
    </row>
    <row r="30" spans="1:26" x14ac:dyDescent="0.25">
      <c r="A30" s="11" t="s">
        <v>250</v>
      </c>
      <c r="B30" s="18" t="s">
        <v>242</v>
      </c>
      <c r="C30" s="4" t="s">
        <v>251</v>
      </c>
      <c r="D30" s="4" t="s">
        <v>244</v>
      </c>
      <c r="E30" s="4" t="s">
        <v>124</v>
      </c>
      <c r="F30" s="4" t="s">
        <v>51</v>
      </c>
      <c r="G30" s="4" t="s">
        <v>65</v>
      </c>
      <c r="H30" s="4" t="s">
        <v>252</v>
      </c>
      <c r="I30" s="4" t="s">
        <v>253</v>
      </c>
      <c r="J30" s="4" t="s">
        <v>254</v>
      </c>
      <c r="K30" s="4" t="s">
        <v>255</v>
      </c>
      <c r="L30" s="4" t="s">
        <v>256</v>
      </c>
      <c r="M30" s="4" t="s">
        <v>71</v>
      </c>
      <c r="N30" s="4" t="s">
        <v>59</v>
      </c>
      <c r="O30" s="4" t="s">
        <v>60</v>
      </c>
      <c r="P30" s="4" t="s">
        <v>61</v>
      </c>
      <c r="Q30" s="4"/>
      <c r="R30" s="4" t="s">
        <v>72</v>
      </c>
      <c r="S30" s="10"/>
      <c r="T30" s="10"/>
      <c r="U30" s="10"/>
      <c r="V30" s="10"/>
      <c r="W30" s="10"/>
      <c r="X30" s="10"/>
      <c r="Y30" s="10"/>
      <c r="Z30" s="10"/>
    </row>
    <row r="31" spans="1:26" x14ac:dyDescent="0.25">
      <c r="A31" s="11" t="s">
        <v>257</v>
      </c>
      <c r="B31" s="18" t="s">
        <v>242</v>
      </c>
      <c r="C31" s="4" t="s">
        <v>258</v>
      </c>
      <c r="D31" s="4" t="s">
        <v>244</v>
      </c>
      <c r="E31" s="4" t="s">
        <v>50</v>
      </c>
      <c r="F31" s="4" t="s">
        <v>75</v>
      </c>
      <c r="G31" s="4" t="s">
        <v>76</v>
      </c>
      <c r="H31" s="4" t="s">
        <v>259</v>
      </c>
      <c r="I31" s="4" t="s">
        <v>260</v>
      </c>
      <c r="J31" s="4" t="s">
        <v>261</v>
      </c>
      <c r="K31" s="4" t="s">
        <v>262</v>
      </c>
      <c r="L31" s="4" t="s">
        <v>263</v>
      </c>
      <c r="M31" s="4" t="s">
        <v>58</v>
      </c>
      <c r="N31" s="4" t="s">
        <v>59</v>
      </c>
      <c r="O31" s="4" t="s">
        <v>60</v>
      </c>
      <c r="P31" s="4" t="s">
        <v>61</v>
      </c>
      <c r="Q31" s="4"/>
      <c r="R31" s="4" t="s">
        <v>82</v>
      </c>
      <c r="S31" s="10"/>
      <c r="T31" s="10"/>
      <c r="U31" s="10"/>
      <c r="V31" s="10"/>
      <c r="W31" s="10"/>
      <c r="X31" s="10"/>
      <c r="Y31" s="10"/>
      <c r="Z31" s="10"/>
    </row>
    <row r="32" spans="1:26" x14ac:dyDescent="0.25">
      <c r="A32" s="4" t="s">
        <v>264</v>
      </c>
      <c r="B32" s="19" t="s">
        <v>265</v>
      </c>
      <c r="C32" s="4" t="s">
        <v>266</v>
      </c>
      <c r="D32" s="4" t="s">
        <v>267</v>
      </c>
      <c r="E32" s="4" t="s">
        <v>50</v>
      </c>
      <c r="F32" s="4" t="s">
        <v>51</v>
      </c>
      <c r="G32" s="4" t="s">
        <v>65</v>
      </c>
      <c r="H32" s="4" t="s">
        <v>268</v>
      </c>
      <c r="I32" s="4" t="s">
        <v>269</v>
      </c>
      <c r="J32" s="4" t="s">
        <v>270</v>
      </c>
      <c r="K32" s="4" t="s">
        <v>271</v>
      </c>
      <c r="L32" s="4" t="s">
        <v>272</v>
      </c>
      <c r="M32" s="4" t="s">
        <v>58</v>
      </c>
      <c r="N32" s="4" t="s">
        <v>59</v>
      </c>
      <c r="O32" s="4" t="s">
        <v>60</v>
      </c>
      <c r="P32" s="4" t="s">
        <v>61</v>
      </c>
      <c r="Q32" s="4"/>
      <c r="R32" s="4" t="s">
        <v>62</v>
      </c>
      <c r="S32" s="10"/>
      <c r="T32" s="10"/>
      <c r="U32" s="10"/>
      <c r="V32" s="10"/>
      <c r="W32" s="10"/>
      <c r="X32" s="10"/>
      <c r="Y32" s="10"/>
      <c r="Z32" s="10"/>
    </row>
    <row r="33" spans="1:26" x14ac:dyDescent="0.25">
      <c r="A33" s="4" t="s">
        <v>273</v>
      </c>
      <c r="B33" s="19" t="s">
        <v>265</v>
      </c>
      <c r="C33" s="4" t="s">
        <v>274</v>
      </c>
      <c r="D33" s="4" t="s">
        <v>267</v>
      </c>
      <c r="E33" s="4" t="s">
        <v>50</v>
      </c>
      <c r="F33" s="4" t="s">
        <v>51</v>
      </c>
      <c r="G33" s="4" t="s">
        <v>65</v>
      </c>
      <c r="H33" s="4" t="s">
        <v>275</v>
      </c>
      <c r="I33" s="4" t="s">
        <v>276</v>
      </c>
      <c r="J33" s="4" t="s">
        <v>277</v>
      </c>
      <c r="K33" s="4" t="s">
        <v>278</v>
      </c>
      <c r="L33" s="4" t="s">
        <v>279</v>
      </c>
      <c r="M33" s="4" t="s">
        <v>71</v>
      </c>
      <c r="N33" s="4" t="s">
        <v>59</v>
      </c>
      <c r="O33" s="4" t="s">
        <v>60</v>
      </c>
      <c r="P33" s="4" t="s">
        <v>61</v>
      </c>
      <c r="Q33" s="4"/>
      <c r="R33" s="4" t="s">
        <v>72</v>
      </c>
      <c r="S33" s="10"/>
      <c r="T33" s="10"/>
      <c r="U33" s="10"/>
      <c r="V33" s="10"/>
      <c r="W33" s="10"/>
      <c r="X33" s="10"/>
      <c r="Y33" s="10"/>
      <c r="Z33" s="10"/>
    </row>
    <row r="34" spans="1:26" x14ac:dyDescent="0.25">
      <c r="A34" s="4" t="s">
        <v>280</v>
      </c>
      <c r="B34" s="19" t="s">
        <v>265</v>
      </c>
      <c r="C34" s="4" t="s">
        <v>281</v>
      </c>
      <c r="D34" s="4" t="s">
        <v>267</v>
      </c>
      <c r="E34" s="4" t="s">
        <v>50</v>
      </c>
      <c r="F34" s="4" t="s">
        <v>75</v>
      </c>
      <c r="G34" s="4" t="s">
        <v>235</v>
      </c>
      <c r="H34" s="4" t="s">
        <v>275</v>
      </c>
      <c r="I34" s="4" t="s">
        <v>282</v>
      </c>
      <c r="J34" s="4" t="s">
        <v>283</v>
      </c>
      <c r="K34" s="4" t="s">
        <v>284</v>
      </c>
      <c r="L34" s="4" t="s">
        <v>285</v>
      </c>
      <c r="M34" s="4" t="s">
        <v>58</v>
      </c>
      <c r="N34" s="4" t="s">
        <v>59</v>
      </c>
      <c r="O34" s="4" t="s">
        <v>60</v>
      </c>
      <c r="P34" s="4" t="s">
        <v>61</v>
      </c>
      <c r="Q34" s="4"/>
      <c r="R34" s="4" t="s">
        <v>82</v>
      </c>
      <c r="S34" s="10"/>
      <c r="T34" s="10"/>
      <c r="U34" s="10"/>
      <c r="V34" s="10"/>
      <c r="W34" s="10"/>
      <c r="X34" s="10"/>
      <c r="Y34" s="10"/>
      <c r="Z34" s="10"/>
    </row>
    <row r="35" spans="1:26" x14ac:dyDescent="0.25">
      <c r="A35" s="4" t="s">
        <v>286</v>
      </c>
      <c r="B35" s="18" t="s">
        <v>287</v>
      </c>
      <c r="C35" s="4" t="s">
        <v>288</v>
      </c>
      <c r="D35" s="4" t="s">
        <v>289</v>
      </c>
      <c r="E35" s="4" t="s">
        <v>50</v>
      </c>
      <c r="F35" s="4" t="s">
        <v>51</v>
      </c>
      <c r="G35" s="4" t="s">
        <v>65</v>
      </c>
      <c r="H35" s="4" t="s">
        <v>290</v>
      </c>
      <c r="I35" s="4" t="s">
        <v>291</v>
      </c>
      <c r="J35" s="4" t="s">
        <v>292</v>
      </c>
      <c r="K35" s="4" t="s">
        <v>293</v>
      </c>
      <c r="L35" s="4" t="s">
        <v>294</v>
      </c>
      <c r="M35" s="4" t="s">
        <v>58</v>
      </c>
      <c r="N35" s="4" t="s">
        <v>59</v>
      </c>
      <c r="O35" s="4" t="s">
        <v>60</v>
      </c>
      <c r="P35" s="4" t="s">
        <v>61</v>
      </c>
      <c r="Q35" s="4"/>
      <c r="R35" s="4" t="s">
        <v>62</v>
      </c>
      <c r="S35" s="10"/>
      <c r="T35" s="10"/>
      <c r="U35" s="10"/>
      <c r="V35" s="10"/>
      <c r="W35" s="10"/>
      <c r="X35" s="10"/>
      <c r="Y35" s="10"/>
      <c r="Z35" s="10"/>
    </row>
    <row r="36" spans="1:26" x14ac:dyDescent="0.25">
      <c r="A36" s="4" t="s">
        <v>295</v>
      </c>
      <c r="B36" s="18" t="s">
        <v>287</v>
      </c>
      <c r="C36" s="4" t="s">
        <v>296</v>
      </c>
      <c r="D36" s="4" t="s">
        <v>289</v>
      </c>
      <c r="E36" s="4" t="s">
        <v>50</v>
      </c>
      <c r="F36" s="4" t="s">
        <v>75</v>
      </c>
      <c r="G36" s="4" t="s">
        <v>76</v>
      </c>
      <c r="H36" s="4" t="s">
        <v>297</v>
      </c>
      <c r="I36" s="4" t="s">
        <v>298</v>
      </c>
      <c r="J36" s="4" t="s">
        <v>299</v>
      </c>
      <c r="K36" s="4" t="s">
        <v>300</v>
      </c>
      <c r="L36" s="4" t="s">
        <v>301</v>
      </c>
      <c r="M36" s="4" t="s">
        <v>71</v>
      </c>
      <c r="N36" s="4" t="s">
        <v>59</v>
      </c>
      <c r="O36" s="4" t="s">
        <v>60</v>
      </c>
      <c r="P36" s="4" t="s">
        <v>61</v>
      </c>
      <c r="Q36" s="4"/>
      <c r="R36" s="4" t="s">
        <v>72</v>
      </c>
      <c r="S36" s="10"/>
      <c r="T36" s="10"/>
      <c r="U36" s="10"/>
      <c r="V36" s="10"/>
      <c r="W36" s="10"/>
      <c r="X36" s="10"/>
      <c r="Y36" s="10"/>
      <c r="Z36" s="10"/>
    </row>
    <row r="37" spans="1:26" x14ac:dyDescent="0.25">
      <c r="A37" s="4" t="s">
        <v>302</v>
      </c>
      <c r="B37" s="18" t="s">
        <v>287</v>
      </c>
      <c r="C37" s="4" t="s">
        <v>303</v>
      </c>
      <c r="D37" s="4" t="s">
        <v>289</v>
      </c>
      <c r="E37" s="4" t="s">
        <v>50</v>
      </c>
      <c r="F37" s="4" t="s">
        <v>75</v>
      </c>
      <c r="G37" s="4" t="s">
        <v>235</v>
      </c>
      <c r="H37" s="4" t="s">
        <v>304</v>
      </c>
      <c r="I37" s="4" t="s">
        <v>305</v>
      </c>
      <c r="J37" s="4" t="s">
        <v>306</v>
      </c>
      <c r="K37" s="4" t="s">
        <v>307</v>
      </c>
      <c r="L37" s="4" t="s">
        <v>308</v>
      </c>
      <c r="M37" s="4" t="s">
        <v>58</v>
      </c>
      <c r="N37" s="4" t="s">
        <v>59</v>
      </c>
      <c r="O37" s="4" t="s">
        <v>60</v>
      </c>
      <c r="P37" s="4" t="s">
        <v>61</v>
      </c>
      <c r="Q37" s="4"/>
      <c r="R37" s="4" t="s">
        <v>82</v>
      </c>
      <c r="S37" s="10"/>
      <c r="T37" s="10"/>
      <c r="U37" s="10"/>
      <c r="V37" s="10"/>
      <c r="W37" s="10"/>
      <c r="X37" s="10"/>
      <c r="Y37" s="10"/>
      <c r="Z37" s="10"/>
    </row>
    <row r="38" spans="1:26" x14ac:dyDescent="0.25">
      <c r="A38" s="4" t="s">
        <v>309</v>
      </c>
      <c r="B38" s="18" t="s">
        <v>310</v>
      </c>
      <c r="C38" s="4" t="s">
        <v>311</v>
      </c>
      <c r="D38" s="4" t="s">
        <v>312</v>
      </c>
      <c r="E38" s="4" t="s">
        <v>50</v>
      </c>
      <c r="F38" s="4" t="s">
        <v>51</v>
      </c>
      <c r="G38" s="4" t="s">
        <v>65</v>
      </c>
      <c r="H38" s="4" t="s">
        <v>313</v>
      </c>
      <c r="I38" s="4" t="s">
        <v>314</v>
      </c>
      <c r="J38" s="4" t="s">
        <v>315</v>
      </c>
      <c r="K38" s="4" t="s">
        <v>316</v>
      </c>
      <c r="L38" s="4" t="s">
        <v>317</v>
      </c>
      <c r="M38" s="4" t="s">
        <v>58</v>
      </c>
      <c r="N38" s="4" t="s">
        <v>59</v>
      </c>
      <c r="O38" s="4" t="s">
        <v>60</v>
      </c>
      <c r="P38" s="4" t="s">
        <v>61</v>
      </c>
      <c r="Q38" s="4"/>
      <c r="R38" s="4" t="s">
        <v>62</v>
      </c>
      <c r="S38" s="10"/>
      <c r="T38" s="10"/>
      <c r="U38" s="10"/>
      <c r="V38" s="10"/>
      <c r="W38" s="10"/>
      <c r="X38" s="10"/>
      <c r="Y38" s="10"/>
      <c r="Z38" s="10"/>
    </row>
    <row r="39" spans="1:26" x14ac:dyDescent="0.25">
      <c r="A39" s="4" t="s">
        <v>318</v>
      </c>
      <c r="B39" s="18" t="s">
        <v>310</v>
      </c>
      <c r="C39" s="4" t="s">
        <v>319</v>
      </c>
      <c r="D39" s="4" t="s">
        <v>312</v>
      </c>
      <c r="E39" s="4" t="s">
        <v>50</v>
      </c>
      <c r="F39" s="4" t="s">
        <v>75</v>
      </c>
      <c r="G39" s="4" t="s">
        <v>76</v>
      </c>
      <c r="H39" s="4" t="s">
        <v>320</v>
      </c>
      <c r="I39" s="4" t="s">
        <v>321</v>
      </c>
      <c r="J39" s="4" t="s">
        <v>322</v>
      </c>
      <c r="K39" s="4" t="s">
        <v>323</v>
      </c>
      <c r="L39" s="4" t="s">
        <v>324</v>
      </c>
      <c r="M39" s="4" t="s">
        <v>58</v>
      </c>
      <c r="N39" s="4" t="s">
        <v>59</v>
      </c>
      <c r="O39" s="4" t="s">
        <v>60</v>
      </c>
      <c r="P39" s="4" t="s">
        <v>61</v>
      </c>
      <c r="Q39" s="4"/>
      <c r="R39" s="4" t="s">
        <v>72</v>
      </c>
      <c r="S39" s="10"/>
      <c r="T39" s="10"/>
      <c r="U39" s="10"/>
      <c r="V39" s="10"/>
      <c r="W39" s="10"/>
      <c r="X39" s="10"/>
      <c r="Y39" s="10"/>
      <c r="Z39" s="10"/>
    </row>
    <row r="40" spans="1:26" x14ac:dyDescent="0.25">
      <c r="A40" s="4" t="s">
        <v>325</v>
      </c>
      <c r="B40" s="18" t="s">
        <v>310</v>
      </c>
      <c r="C40" s="4" t="s">
        <v>326</v>
      </c>
      <c r="D40" s="4" t="s">
        <v>312</v>
      </c>
      <c r="E40" s="4" t="s">
        <v>50</v>
      </c>
      <c r="F40" s="4" t="s">
        <v>101</v>
      </c>
      <c r="G40" s="4" t="s">
        <v>235</v>
      </c>
      <c r="H40" s="4" t="s">
        <v>327</v>
      </c>
      <c r="I40" s="4" t="s">
        <v>328</v>
      </c>
      <c r="J40" s="4" t="s">
        <v>329</v>
      </c>
      <c r="K40" s="4" t="s">
        <v>330</v>
      </c>
      <c r="L40" s="4" t="s">
        <v>331</v>
      </c>
      <c r="M40" s="4" t="s">
        <v>58</v>
      </c>
      <c r="N40" s="4" t="s">
        <v>59</v>
      </c>
      <c r="O40" s="4" t="s">
        <v>60</v>
      </c>
      <c r="P40" s="4" t="s">
        <v>61</v>
      </c>
      <c r="Q40" s="4"/>
      <c r="R40" s="4" t="s">
        <v>82</v>
      </c>
      <c r="S40" s="10"/>
      <c r="T40" s="10"/>
      <c r="U40" s="10"/>
      <c r="V40" s="10"/>
      <c r="W40" s="10"/>
      <c r="X40" s="10"/>
      <c r="Y40" s="10"/>
      <c r="Z40" s="10"/>
    </row>
    <row r="41" spans="1:26" x14ac:dyDescent="0.25">
      <c r="A41" s="4" t="s">
        <v>332</v>
      </c>
      <c r="B41" s="18" t="s">
        <v>333</v>
      </c>
      <c r="C41" s="4" t="s">
        <v>334</v>
      </c>
      <c r="D41" s="4" t="s">
        <v>335</v>
      </c>
      <c r="E41" s="4" t="s">
        <v>50</v>
      </c>
      <c r="F41" s="4" t="s">
        <v>51</v>
      </c>
      <c r="G41" s="4" t="s">
        <v>65</v>
      </c>
      <c r="H41" s="4" t="s">
        <v>336</v>
      </c>
      <c r="I41" s="4" t="s">
        <v>337</v>
      </c>
      <c r="J41" s="4" t="s">
        <v>338</v>
      </c>
      <c r="K41" s="4" t="s">
        <v>339</v>
      </c>
      <c r="L41" s="4" t="s">
        <v>340</v>
      </c>
      <c r="M41" s="4" t="s">
        <v>58</v>
      </c>
      <c r="N41" s="4" t="s">
        <v>59</v>
      </c>
      <c r="O41" s="4" t="s">
        <v>60</v>
      </c>
      <c r="P41" s="4" t="s">
        <v>61</v>
      </c>
      <c r="Q41" s="4"/>
      <c r="R41" s="4" t="s">
        <v>62</v>
      </c>
      <c r="S41" s="10"/>
      <c r="T41" s="10"/>
      <c r="U41" s="10"/>
      <c r="V41" s="10"/>
      <c r="W41" s="10"/>
      <c r="X41" s="10"/>
      <c r="Y41" s="10"/>
      <c r="Z41" s="10"/>
    </row>
    <row r="42" spans="1:26" x14ac:dyDescent="0.25">
      <c r="A42" s="4" t="s">
        <v>341</v>
      </c>
      <c r="B42" s="18" t="s">
        <v>333</v>
      </c>
      <c r="C42" s="4" t="s">
        <v>342</v>
      </c>
      <c r="D42" s="4" t="s">
        <v>335</v>
      </c>
      <c r="E42" s="4" t="s">
        <v>50</v>
      </c>
      <c r="F42" s="4" t="s">
        <v>51</v>
      </c>
      <c r="G42" s="4" t="s">
        <v>65</v>
      </c>
      <c r="H42" s="4" t="s">
        <v>304</v>
      </c>
      <c r="I42" s="4" t="s">
        <v>343</v>
      </c>
      <c r="J42" s="4" t="s">
        <v>344</v>
      </c>
      <c r="K42" s="4" t="s">
        <v>345</v>
      </c>
      <c r="L42" s="4" t="s">
        <v>346</v>
      </c>
      <c r="M42" s="4" t="s">
        <v>58</v>
      </c>
      <c r="N42" s="4" t="s">
        <v>59</v>
      </c>
      <c r="O42" s="4" t="s">
        <v>60</v>
      </c>
      <c r="P42" s="4" t="s">
        <v>61</v>
      </c>
      <c r="Q42" s="4"/>
      <c r="R42" s="4" t="s">
        <v>72</v>
      </c>
      <c r="S42" s="10"/>
      <c r="T42" s="10"/>
      <c r="U42" s="10"/>
      <c r="V42" s="10"/>
      <c r="W42" s="10"/>
      <c r="X42" s="10"/>
      <c r="Y42" s="10"/>
      <c r="Z42" s="10"/>
    </row>
    <row r="43" spans="1:26" x14ac:dyDescent="0.25">
      <c r="A43" s="4" t="s">
        <v>347</v>
      </c>
      <c r="B43" s="18" t="s">
        <v>333</v>
      </c>
      <c r="C43" s="4" t="s">
        <v>348</v>
      </c>
      <c r="D43" s="4" t="s">
        <v>335</v>
      </c>
      <c r="E43" s="4" t="s">
        <v>50</v>
      </c>
      <c r="F43" s="4" t="s">
        <v>101</v>
      </c>
      <c r="G43" s="4" t="s">
        <v>235</v>
      </c>
      <c r="H43" s="4" t="s">
        <v>349</v>
      </c>
      <c r="I43" s="4" t="s">
        <v>350</v>
      </c>
      <c r="J43" s="4" t="s">
        <v>351</v>
      </c>
      <c r="K43" s="4" t="s">
        <v>352</v>
      </c>
      <c r="L43" s="4" t="s">
        <v>353</v>
      </c>
      <c r="M43" s="4" t="s">
        <v>58</v>
      </c>
      <c r="N43" s="4" t="s">
        <v>59</v>
      </c>
      <c r="O43" s="4" t="s">
        <v>60</v>
      </c>
      <c r="P43" s="4" t="s">
        <v>61</v>
      </c>
      <c r="Q43" s="4"/>
      <c r="R43" s="4" t="s">
        <v>82</v>
      </c>
      <c r="S43" s="10"/>
      <c r="T43" s="10"/>
      <c r="U43" s="10"/>
      <c r="V43" s="10"/>
      <c r="W43" s="10"/>
      <c r="X43" s="10"/>
      <c r="Y43" s="10"/>
      <c r="Z43" s="10"/>
    </row>
    <row r="44" spans="1:26" x14ac:dyDescent="0.25">
      <c r="A44" s="4" t="s">
        <v>354</v>
      </c>
      <c r="B44" s="18" t="s">
        <v>355</v>
      </c>
      <c r="C44" s="4" t="s">
        <v>356</v>
      </c>
      <c r="D44" s="4" t="s">
        <v>357</v>
      </c>
      <c r="E44" s="4" t="s">
        <v>50</v>
      </c>
      <c r="F44" s="4" t="s">
        <v>51</v>
      </c>
      <c r="G44" s="4" t="s">
        <v>65</v>
      </c>
      <c r="H44" s="4" t="s">
        <v>358</v>
      </c>
      <c r="I44" s="4" t="s">
        <v>359</v>
      </c>
      <c r="J44" s="4" t="s">
        <v>360</v>
      </c>
      <c r="K44" s="4" t="s">
        <v>361</v>
      </c>
      <c r="L44" s="4" t="s">
        <v>362</v>
      </c>
      <c r="M44" s="4" t="s">
        <v>58</v>
      </c>
      <c r="N44" s="4" t="s">
        <v>59</v>
      </c>
      <c r="O44" s="4" t="s">
        <v>60</v>
      </c>
      <c r="P44" s="4" t="s">
        <v>61</v>
      </c>
      <c r="Q44" s="4"/>
      <c r="R44" s="4" t="s">
        <v>62</v>
      </c>
      <c r="S44" s="10"/>
      <c r="T44" s="10"/>
      <c r="U44" s="10"/>
      <c r="V44" s="10"/>
      <c r="W44" s="10"/>
      <c r="X44" s="10"/>
      <c r="Y44" s="10"/>
      <c r="Z44" s="10"/>
    </row>
    <row r="45" spans="1:26" x14ac:dyDescent="0.25">
      <c r="A45" s="4" t="s">
        <v>363</v>
      </c>
      <c r="B45" s="18" t="s">
        <v>355</v>
      </c>
      <c r="C45" s="4" t="s">
        <v>364</v>
      </c>
      <c r="D45" s="4" t="s">
        <v>357</v>
      </c>
      <c r="E45" s="4" t="s">
        <v>124</v>
      </c>
      <c r="F45" s="4" t="s">
        <v>51</v>
      </c>
      <c r="G45" s="4" t="s">
        <v>65</v>
      </c>
      <c r="H45" s="4" t="s">
        <v>185</v>
      </c>
      <c r="I45" s="4" t="s">
        <v>365</v>
      </c>
      <c r="J45" s="4" t="s">
        <v>366</v>
      </c>
      <c r="K45" s="4" t="s">
        <v>367</v>
      </c>
      <c r="L45" s="4" t="s">
        <v>368</v>
      </c>
      <c r="M45" s="4" t="s">
        <v>58</v>
      </c>
      <c r="N45" s="4" t="s">
        <v>59</v>
      </c>
      <c r="O45" s="4" t="s">
        <v>60</v>
      </c>
      <c r="P45" s="4" t="s">
        <v>61</v>
      </c>
      <c r="Q45" s="4"/>
      <c r="R45" s="4" t="s">
        <v>72</v>
      </c>
      <c r="S45" s="10"/>
      <c r="T45" s="10"/>
      <c r="U45" s="10"/>
      <c r="V45" s="10"/>
      <c r="W45" s="10"/>
      <c r="X45" s="10"/>
      <c r="Y45" s="10"/>
      <c r="Z45" s="10"/>
    </row>
    <row r="46" spans="1:26" x14ac:dyDescent="0.25">
      <c r="A46" s="4" t="s">
        <v>369</v>
      </c>
      <c r="B46" s="18" t="s">
        <v>355</v>
      </c>
      <c r="C46" s="4" t="s">
        <v>370</v>
      </c>
      <c r="D46" s="4" t="s">
        <v>357</v>
      </c>
      <c r="E46" s="4" t="s">
        <v>50</v>
      </c>
      <c r="F46" s="4" t="s">
        <v>75</v>
      </c>
      <c r="G46" s="4" t="s">
        <v>235</v>
      </c>
      <c r="H46" s="4" t="s">
        <v>371</v>
      </c>
      <c r="I46" s="4" t="s">
        <v>372</v>
      </c>
      <c r="J46" s="4" t="s">
        <v>373</v>
      </c>
      <c r="K46" s="4" t="s">
        <v>374</v>
      </c>
      <c r="L46" s="4" t="s">
        <v>375</v>
      </c>
      <c r="M46" s="4" t="s">
        <v>58</v>
      </c>
      <c r="N46" s="4" t="s">
        <v>59</v>
      </c>
      <c r="O46" s="4" t="s">
        <v>60</v>
      </c>
      <c r="P46" s="4" t="s">
        <v>61</v>
      </c>
      <c r="Q46" s="4"/>
      <c r="R46" s="4" t="s">
        <v>82</v>
      </c>
      <c r="S46" s="10"/>
      <c r="T46" s="10"/>
      <c r="U46" s="10"/>
      <c r="V46" s="10"/>
      <c r="W46" s="10"/>
      <c r="X46" s="10"/>
      <c r="Y46" s="10"/>
      <c r="Z46" s="10"/>
    </row>
    <row r="47" spans="1:26" x14ac:dyDescent="0.25">
      <c r="A47" s="4" t="s">
        <v>376</v>
      </c>
      <c r="B47" s="18" t="s">
        <v>377</v>
      </c>
      <c r="C47" s="4" t="s">
        <v>378</v>
      </c>
      <c r="D47" s="4" t="s">
        <v>379</v>
      </c>
      <c r="E47" s="4" t="s">
        <v>50</v>
      </c>
      <c r="F47" s="4" t="s">
        <v>51</v>
      </c>
      <c r="G47" s="4" t="s">
        <v>65</v>
      </c>
      <c r="H47" s="4" t="s">
        <v>245</v>
      </c>
      <c r="I47" s="4" t="s">
        <v>380</v>
      </c>
      <c r="J47" s="4" t="s">
        <v>381</v>
      </c>
      <c r="K47" s="4" t="s">
        <v>382</v>
      </c>
      <c r="L47" s="4" t="s">
        <v>383</v>
      </c>
      <c r="M47" s="4" t="s">
        <v>58</v>
      </c>
      <c r="N47" s="4" t="s">
        <v>59</v>
      </c>
      <c r="O47" s="4" t="s">
        <v>60</v>
      </c>
      <c r="P47" s="4" t="s">
        <v>61</v>
      </c>
      <c r="Q47" s="4"/>
      <c r="R47" s="4" t="s">
        <v>62</v>
      </c>
      <c r="S47" s="10"/>
      <c r="T47" s="10"/>
      <c r="U47" s="10"/>
      <c r="V47" s="10"/>
      <c r="W47" s="10"/>
      <c r="X47" s="10"/>
      <c r="Y47" s="10"/>
      <c r="Z47" s="10"/>
    </row>
    <row r="48" spans="1:26" x14ac:dyDescent="0.25">
      <c r="A48" s="4" t="s">
        <v>384</v>
      </c>
      <c r="B48" s="18" t="s">
        <v>377</v>
      </c>
      <c r="C48" s="4" t="s">
        <v>385</v>
      </c>
      <c r="D48" s="4" t="s">
        <v>379</v>
      </c>
      <c r="E48" s="4" t="s">
        <v>50</v>
      </c>
      <c r="F48" s="4" t="s">
        <v>75</v>
      </c>
      <c r="G48" s="4" t="s">
        <v>76</v>
      </c>
      <c r="H48" s="4" t="s">
        <v>386</v>
      </c>
      <c r="I48" s="4" t="s">
        <v>387</v>
      </c>
      <c r="J48" s="4" t="s">
        <v>388</v>
      </c>
      <c r="K48" s="4" t="s">
        <v>389</v>
      </c>
      <c r="L48" s="4" t="s">
        <v>390</v>
      </c>
      <c r="M48" s="4" t="s">
        <v>58</v>
      </c>
      <c r="N48" s="4" t="s">
        <v>59</v>
      </c>
      <c r="O48" s="4" t="s">
        <v>60</v>
      </c>
      <c r="P48" s="4" t="s">
        <v>61</v>
      </c>
      <c r="Q48" s="4"/>
      <c r="R48" s="4" t="s">
        <v>72</v>
      </c>
      <c r="S48" s="10"/>
      <c r="T48" s="10"/>
      <c r="U48" s="10"/>
      <c r="V48" s="10"/>
      <c r="W48" s="10"/>
      <c r="X48" s="10"/>
      <c r="Y48" s="10"/>
      <c r="Z48" s="10"/>
    </row>
    <row r="49" spans="1:26" x14ac:dyDescent="0.25">
      <c r="A49" s="4" t="s">
        <v>391</v>
      </c>
      <c r="B49" s="18" t="s">
        <v>377</v>
      </c>
      <c r="C49" s="4" t="s">
        <v>392</v>
      </c>
      <c r="D49" s="4" t="s">
        <v>379</v>
      </c>
      <c r="E49" s="4" t="s">
        <v>50</v>
      </c>
      <c r="F49" s="4" t="s">
        <v>101</v>
      </c>
      <c r="G49" s="4" t="s">
        <v>235</v>
      </c>
      <c r="H49" s="4" t="s">
        <v>386</v>
      </c>
      <c r="I49" s="4" t="s">
        <v>393</v>
      </c>
      <c r="J49" s="4" t="s">
        <v>394</v>
      </c>
      <c r="K49" s="4" t="s">
        <v>395</v>
      </c>
      <c r="L49" s="4" t="s">
        <v>396</v>
      </c>
      <c r="M49" s="4" t="s">
        <v>58</v>
      </c>
      <c r="N49" s="4" t="s">
        <v>59</v>
      </c>
      <c r="O49" s="4" t="s">
        <v>60</v>
      </c>
      <c r="P49" s="4" t="s">
        <v>61</v>
      </c>
      <c r="Q49" s="4"/>
      <c r="R49" s="4" t="s">
        <v>82</v>
      </c>
      <c r="S49" s="10"/>
      <c r="T49" s="10"/>
      <c r="U49" s="10"/>
      <c r="V49" s="10"/>
      <c r="W49" s="10"/>
      <c r="X49" s="10"/>
      <c r="Y49" s="10"/>
      <c r="Z49" s="10"/>
    </row>
    <row r="50" spans="1:26" x14ac:dyDescent="0.25">
      <c r="A50" s="4" t="s">
        <v>397</v>
      </c>
      <c r="B50" s="18" t="s">
        <v>398</v>
      </c>
      <c r="C50" s="4" t="s">
        <v>399</v>
      </c>
      <c r="D50" s="4" t="s">
        <v>400</v>
      </c>
      <c r="E50" s="4" t="s">
        <v>50</v>
      </c>
      <c r="F50" s="4" t="s">
        <v>51</v>
      </c>
      <c r="G50" s="4" t="s">
        <v>65</v>
      </c>
      <c r="H50" s="4" t="s">
        <v>245</v>
      </c>
      <c r="I50" s="4" t="s">
        <v>401</v>
      </c>
      <c r="J50" s="4" t="s">
        <v>402</v>
      </c>
      <c r="K50" s="4" t="s">
        <v>403</v>
      </c>
      <c r="L50" s="4" t="s">
        <v>404</v>
      </c>
      <c r="M50" s="4" t="s">
        <v>58</v>
      </c>
      <c r="N50" s="4" t="s">
        <v>59</v>
      </c>
      <c r="O50" s="4" t="s">
        <v>60</v>
      </c>
      <c r="P50" s="4" t="s">
        <v>61</v>
      </c>
      <c r="Q50" s="4"/>
      <c r="R50" s="4" t="s">
        <v>62</v>
      </c>
      <c r="S50" s="10"/>
      <c r="T50" s="10"/>
      <c r="U50" s="10"/>
      <c r="V50" s="10"/>
      <c r="W50" s="10"/>
      <c r="X50" s="10"/>
      <c r="Y50" s="10"/>
      <c r="Z50" s="10"/>
    </row>
    <row r="51" spans="1:26" x14ac:dyDescent="0.25">
      <c r="A51" s="4" t="s">
        <v>405</v>
      </c>
      <c r="B51" s="18" t="s">
        <v>398</v>
      </c>
      <c r="C51" s="4" t="s">
        <v>406</v>
      </c>
      <c r="D51" s="4" t="s">
        <v>400</v>
      </c>
      <c r="E51" s="4" t="s">
        <v>50</v>
      </c>
      <c r="F51" s="4" t="s">
        <v>75</v>
      </c>
      <c r="G51" s="4" t="s">
        <v>76</v>
      </c>
      <c r="H51" s="4" t="s">
        <v>185</v>
      </c>
      <c r="I51" s="4" t="s">
        <v>407</v>
      </c>
      <c r="J51" s="4" t="s">
        <v>408</v>
      </c>
      <c r="K51" s="4" t="s">
        <v>409</v>
      </c>
      <c r="L51" s="4" t="s">
        <v>410</v>
      </c>
      <c r="M51" s="4" t="s">
        <v>58</v>
      </c>
      <c r="N51" s="4" t="s">
        <v>59</v>
      </c>
      <c r="O51" s="4" t="s">
        <v>60</v>
      </c>
      <c r="P51" s="4" t="s">
        <v>61</v>
      </c>
      <c r="Q51" s="4"/>
      <c r="R51" s="4" t="s">
        <v>72</v>
      </c>
      <c r="S51" s="10"/>
      <c r="T51" s="10"/>
      <c r="U51" s="10"/>
      <c r="V51" s="10"/>
      <c r="W51" s="10"/>
      <c r="X51" s="10"/>
      <c r="Y51" s="10"/>
      <c r="Z51" s="10"/>
    </row>
    <row r="52" spans="1:26" x14ac:dyDescent="0.25">
      <c r="A52" s="4" t="s">
        <v>411</v>
      </c>
      <c r="B52" s="18" t="s">
        <v>398</v>
      </c>
      <c r="C52" s="4" t="s">
        <v>412</v>
      </c>
      <c r="D52" s="4" t="s">
        <v>400</v>
      </c>
      <c r="E52" s="4" t="s">
        <v>50</v>
      </c>
      <c r="F52" s="4" t="s">
        <v>101</v>
      </c>
      <c r="G52" s="4" t="s">
        <v>235</v>
      </c>
      <c r="H52" s="4" t="s">
        <v>185</v>
      </c>
      <c r="I52" s="4" t="s">
        <v>413</v>
      </c>
      <c r="J52" s="4" t="s">
        <v>414</v>
      </c>
      <c r="K52" s="4" t="s">
        <v>415</v>
      </c>
      <c r="L52" s="4" t="s">
        <v>416</v>
      </c>
      <c r="M52" s="4" t="s">
        <v>58</v>
      </c>
      <c r="N52" s="4" t="s">
        <v>59</v>
      </c>
      <c r="O52" s="4" t="s">
        <v>60</v>
      </c>
      <c r="P52" s="4" t="s">
        <v>61</v>
      </c>
      <c r="Q52" s="4"/>
      <c r="R52" s="4" t="s">
        <v>82</v>
      </c>
      <c r="S52" s="10"/>
      <c r="T52" s="10"/>
      <c r="U52" s="10"/>
      <c r="V52" s="10"/>
      <c r="W52" s="10"/>
      <c r="X52" s="10"/>
      <c r="Y52" s="10"/>
      <c r="Z52" s="10"/>
    </row>
    <row r="53" spans="1:26" x14ac:dyDescent="0.25">
      <c r="A53" s="4" t="s">
        <v>417</v>
      </c>
      <c r="B53" s="18" t="s">
        <v>418</v>
      </c>
      <c r="C53" s="4" t="s">
        <v>419</v>
      </c>
      <c r="D53" s="4" t="s">
        <v>420</v>
      </c>
      <c r="E53" s="4" t="s">
        <v>50</v>
      </c>
      <c r="F53" s="4" t="s">
        <v>51</v>
      </c>
      <c r="G53" s="4" t="s">
        <v>65</v>
      </c>
      <c r="H53" s="4" t="s">
        <v>421</v>
      </c>
      <c r="I53" s="4" t="s">
        <v>422</v>
      </c>
      <c r="J53" s="4" t="s">
        <v>423</v>
      </c>
      <c r="K53" s="4" t="s">
        <v>424</v>
      </c>
      <c r="L53" s="4" t="s">
        <v>425</v>
      </c>
      <c r="M53" s="4" t="s">
        <v>58</v>
      </c>
      <c r="N53" s="4" t="s">
        <v>59</v>
      </c>
      <c r="O53" s="4" t="s">
        <v>60</v>
      </c>
      <c r="P53" s="4" t="s">
        <v>61</v>
      </c>
      <c r="Q53" s="4"/>
      <c r="R53" s="4" t="s">
        <v>62</v>
      </c>
      <c r="S53" s="10"/>
      <c r="T53" s="10"/>
      <c r="U53" s="10"/>
      <c r="V53" s="10"/>
      <c r="W53" s="10"/>
      <c r="X53" s="10"/>
      <c r="Y53" s="10"/>
      <c r="Z53" s="10"/>
    </row>
    <row r="54" spans="1:26" x14ac:dyDescent="0.25">
      <c r="A54" s="20" t="s">
        <v>426</v>
      </c>
      <c r="B54" s="21" t="s">
        <v>418</v>
      </c>
      <c r="C54" s="20" t="s">
        <v>427</v>
      </c>
      <c r="D54" s="20" t="s">
        <v>420</v>
      </c>
      <c r="E54" s="20" t="s">
        <v>50</v>
      </c>
      <c r="F54" s="20" t="s">
        <v>75</v>
      </c>
      <c r="G54" s="20" t="s">
        <v>76</v>
      </c>
      <c r="H54" s="20" t="s">
        <v>428</v>
      </c>
      <c r="I54" s="20" t="s">
        <v>429</v>
      </c>
      <c r="J54" s="20" t="s">
        <v>430</v>
      </c>
      <c r="K54" s="20" t="s">
        <v>431</v>
      </c>
      <c r="L54" s="20" t="s">
        <v>432</v>
      </c>
      <c r="M54" s="20" t="s">
        <v>58</v>
      </c>
      <c r="N54" s="20" t="s">
        <v>59</v>
      </c>
      <c r="O54" s="20" t="s">
        <v>60</v>
      </c>
      <c r="P54" s="20" t="s">
        <v>61</v>
      </c>
      <c r="Q54" s="20"/>
      <c r="R54" s="20" t="s">
        <v>72</v>
      </c>
      <c r="S54" s="10"/>
      <c r="T54" s="10"/>
      <c r="U54" s="10"/>
      <c r="V54" s="10"/>
      <c r="W54" s="10"/>
      <c r="X54" s="10"/>
      <c r="Y54" s="10"/>
      <c r="Z54" s="10"/>
    </row>
    <row r="55" spans="1:26" x14ac:dyDescent="0.25">
      <c r="A55" s="22" t="s">
        <v>433</v>
      </c>
      <c r="B55" s="23" t="s">
        <v>418</v>
      </c>
      <c r="C55" s="22" t="s">
        <v>434</v>
      </c>
      <c r="D55" s="22" t="s">
        <v>420</v>
      </c>
      <c r="E55" s="20" t="s">
        <v>50</v>
      </c>
      <c r="F55" s="22" t="s">
        <v>101</v>
      </c>
      <c r="G55" s="4" t="s">
        <v>235</v>
      </c>
      <c r="H55" s="22" t="s">
        <v>435</v>
      </c>
      <c r="I55" s="22" t="s">
        <v>436</v>
      </c>
      <c r="J55" s="22" t="s">
        <v>437</v>
      </c>
      <c r="K55" s="22" t="s">
        <v>438</v>
      </c>
      <c r="L55" s="22" t="s">
        <v>439</v>
      </c>
      <c r="M55" s="20" t="s">
        <v>58</v>
      </c>
      <c r="N55" s="22" t="s">
        <v>59</v>
      </c>
      <c r="O55" s="22" t="s">
        <v>60</v>
      </c>
      <c r="P55" s="22" t="s">
        <v>61</v>
      </c>
      <c r="Q55" s="22"/>
      <c r="R55" s="22" t="s">
        <v>82</v>
      </c>
      <c r="S55" s="10"/>
      <c r="T55" s="10"/>
      <c r="U55" s="10"/>
      <c r="V55" s="10"/>
      <c r="W55" s="10"/>
      <c r="X55" s="10"/>
      <c r="Y55" s="10"/>
      <c r="Z55" s="10"/>
    </row>
    <row r="56" spans="1:26" x14ac:dyDescent="0.25">
      <c r="A56" s="22" t="s">
        <v>440</v>
      </c>
      <c r="B56" s="23" t="s">
        <v>441</v>
      </c>
      <c r="C56" s="22" t="s">
        <v>442</v>
      </c>
      <c r="D56" s="22" t="s">
        <v>443</v>
      </c>
      <c r="E56" s="20" t="s">
        <v>50</v>
      </c>
      <c r="F56" s="22" t="s">
        <v>51</v>
      </c>
      <c r="G56" s="4" t="s">
        <v>52</v>
      </c>
      <c r="H56" s="22" t="s">
        <v>245</v>
      </c>
      <c r="I56" s="22" t="s">
        <v>444</v>
      </c>
      <c r="J56" s="22" t="s">
        <v>445</v>
      </c>
      <c r="K56" s="22" t="s">
        <v>446</v>
      </c>
      <c r="L56" s="22" t="s">
        <v>447</v>
      </c>
      <c r="M56" s="20" t="s">
        <v>58</v>
      </c>
      <c r="N56" s="22" t="s">
        <v>59</v>
      </c>
      <c r="O56" s="22" t="s">
        <v>60</v>
      </c>
      <c r="P56" s="22" t="s">
        <v>61</v>
      </c>
      <c r="Q56" s="22"/>
      <c r="R56" s="22" t="s">
        <v>62</v>
      </c>
      <c r="S56" s="10"/>
      <c r="T56" s="10"/>
      <c r="U56" s="10"/>
      <c r="V56" s="10"/>
      <c r="W56" s="10"/>
      <c r="X56" s="10"/>
      <c r="Y56" s="10"/>
      <c r="Z56" s="10"/>
    </row>
    <row r="57" spans="1:26" x14ac:dyDescent="0.25">
      <c r="A57" s="22" t="s">
        <v>448</v>
      </c>
      <c r="B57" s="23" t="s">
        <v>441</v>
      </c>
      <c r="C57" s="22" t="s">
        <v>449</v>
      </c>
      <c r="D57" s="22" t="s">
        <v>443</v>
      </c>
      <c r="E57" s="20" t="s">
        <v>50</v>
      </c>
      <c r="F57" s="22" t="s">
        <v>51</v>
      </c>
      <c r="G57" s="4" t="s">
        <v>65</v>
      </c>
      <c r="H57" s="22" t="s">
        <v>450</v>
      </c>
      <c r="I57" s="22" t="s">
        <v>451</v>
      </c>
      <c r="J57" s="22" t="s">
        <v>452</v>
      </c>
      <c r="K57" s="22" t="s">
        <v>453</v>
      </c>
      <c r="L57" s="22" t="s">
        <v>454</v>
      </c>
      <c r="M57" s="4" t="s">
        <v>71</v>
      </c>
      <c r="N57" s="22" t="s">
        <v>59</v>
      </c>
      <c r="O57" s="22" t="s">
        <v>60</v>
      </c>
      <c r="P57" s="22" t="s">
        <v>61</v>
      </c>
      <c r="Q57" s="22"/>
      <c r="R57" s="22" t="s">
        <v>72</v>
      </c>
      <c r="S57" s="10"/>
      <c r="T57" s="10"/>
      <c r="U57" s="10"/>
      <c r="V57" s="10"/>
      <c r="W57" s="10"/>
      <c r="X57" s="10"/>
      <c r="Y57" s="10"/>
      <c r="Z57" s="10"/>
    </row>
    <row r="58" spans="1:26" x14ac:dyDescent="0.25">
      <c r="A58" s="22" t="s">
        <v>455</v>
      </c>
      <c r="B58" s="23" t="s">
        <v>441</v>
      </c>
      <c r="C58" s="22" t="s">
        <v>456</v>
      </c>
      <c r="D58" s="22" t="s">
        <v>443</v>
      </c>
      <c r="E58" s="20" t="s">
        <v>50</v>
      </c>
      <c r="F58" s="22" t="s">
        <v>75</v>
      </c>
      <c r="G58" s="4" t="s">
        <v>235</v>
      </c>
      <c r="H58" s="22" t="s">
        <v>457</v>
      </c>
      <c r="I58" s="22" t="s">
        <v>458</v>
      </c>
      <c r="J58" s="22" t="s">
        <v>459</v>
      </c>
      <c r="K58" s="22" t="s">
        <v>460</v>
      </c>
      <c r="L58" s="22" t="s">
        <v>461</v>
      </c>
      <c r="M58" s="20" t="s">
        <v>58</v>
      </c>
      <c r="N58" s="22" t="s">
        <v>59</v>
      </c>
      <c r="O58" s="22" t="s">
        <v>60</v>
      </c>
      <c r="P58" s="22" t="s">
        <v>61</v>
      </c>
      <c r="Q58" s="22"/>
      <c r="R58" s="22" t="s">
        <v>82</v>
      </c>
      <c r="S58" s="10"/>
      <c r="T58" s="10"/>
      <c r="U58" s="10"/>
      <c r="V58" s="10"/>
      <c r="W58" s="10"/>
      <c r="X58" s="10"/>
      <c r="Y58" s="10"/>
      <c r="Z58" s="10"/>
    </row>
    <row r="59" spans="1:26" x14ac:dyDescent="0.25">
      <c r="A59" s="22" t="s">
        <v>462</v>
      </c>
      <c r="B59" s="23" t="s">
        <v>463</v>
      </c>
      <c r="C59" s="22" t="s">
        <v>464</v>
      </c>
      <c r="D59" s="22" t="s">
        <v>465</v>
      </c>
      <c r="E59" s="20" t="s">
        <v>50</v>
      </c>
      <c r="F59" s="22" t="s">
        <v>51</v>
      </c>
      <c r="G59" s="4" t="s">
        <v>65</v>
      </c>
      <c r="H59" s="22" t="s">
        <v>466</v>
      </c>
      <c r="I59" s="22" t="s">
        <v>467</v>
      </c>
      <c r="J59" s="22" t="s">
        <v>468</v>
      </c>
      <c r="K59" s="22" t="s">
        <v>469</v>
      </c>
      <c r="L59" s="22" t="s">
        <v>470</v>
      </c>
      <c r="M59" s="20" t="s">
        <v>58</v>
      </c>
      <c r="N59" s="22" t="s">
        <v>59</v>
      </c>
      <c r="O59" s="22" t="s">
        <v>60</v>
      </c>
      <c r="P59" s="22" t="s">
        <v>61</v>
      </c>
      <c r="Q59" s="22"/>
      <c r="R59" s="22" t="s">
        <v>62</v>
      </c>
      <c r="S59" s="10"/>
      <c r="T59" s="10"/>
      <c r="U59" s="10"/>
      <c r="V59" s="10"/>
      <c r="W59" s="10"/>
      <c r="X59" s="10"/>
      <c r="Y59" s="10"/>
      <c r="Z59" s="10"/>
    </row>
    <row r="60" spans="1:26" x14ac:dyDescent="0.25">
      <c r="A60" s="22" t="s">
        <v>471</v>
      </c>
      <c r="B60" s="23" t="s">
        <v>463</v>
      </c>
      <c r="C60" s="22" t="s">
        <v>472</v>
      </c>
      <c r="D60" s="22" t="s">
        <v>465</v>
      </c>
      <c r="E60" s="20" t="s">
        <v>124</v>
      </c>
      <c r="F60" s="22" t="s">
        <v>51</v>
      </c>
      <c r="G60" s="4" t="s">
        <v>52</v>
      </c>
      <c r="H60" s="22" t="s">
        <v>473</v>
      </c>
      <c r="I60" s="22" t="s">
        <v>474</v>
      </c>
      <c r="J60" s="22" t="s">
        <v>475</v>
      </c>
      <c r="K60" s="22" t="s">
        <v>476</v>
      </c>
      <c r="L60" s="22" t="s">
        <v>477</v>
      </c>
      <c r="M60" s="20" t="s">
        <v>58</v>
      </c>
      <c r="N60" s="22" t="s">
        <v>59</v>
      </c>
      <c r="O60" s="22" t="s">
        <v>60</v>
      </c>
      <c r="P60" s="22" t="s">
        <v>61</v>
      </c>
      <c r="Q60" s="22"/>
      <c r="R60" s="22" t="s">
        <v>72</v>
      </c>
      <c r="S60" s="10"/>
      <c r="T60" s="10"/>
      <c r="U60" s="10"/>
      <c r="V60" s="10"/>
      <c r="W60" s="10"/>
      <c r="X60" s="10"/>
      <c r="Y60" s="10"/>
      <c r="Z60" s="10"/>
    </row>
    <row r="61" spans="1:26" x14ac:dyDescent="0.25">
      <c r="A61" s="22" t="s">
        <v>478</v>
      </c>
      <c r="B61" s="23" t="s">
        <v>463</v>
      </c>
      <c r="C61" s="22" t="s">
        <v>479</v>
      </c>
      <c r="D61" s="22" t="s">
        <v>465</v>
      </c>
      <c r="E61" s="20" t="s">
        <v>50</v>
      </c>
      <c r="F61" s="22" t="s">
        <v>75</v>
      </c>
      <c r="G61" s="4" t="s">
        <v>235</v>
      </c>
      <c r="H61" s="22" t="s">
        <v>480</v>
      </c>
      <c r="I61" s="22" t="s">
        <v>481</v>
      </c>
      <c r="J61" s="22" t="s">
        <v>482</v>
      </c>
      <c r="K61" s="22" t="s">
        <v>483</v>
      </c>
      <c r="L61" s="22" t="s">
        <v>484</v>
      </c>
      <c r="M61" s="20" t="s">
        <v>58</v>
      </c>
      <c r="N61" s="22" t="s">
        <v>59</v>
      </c>
      <c r="O61" s="22" t="s">
        <v>60</v>
      </c>
      <c r="P61" s="22" t="s">
        <v>61</v>
      </c>
      <c r="Q61" s="22"/>
      <c r="R61" s="22" t="s">
        <v>82</v>
      </c>
      <c r="S61" s="10"/>
      <c r="T61" s="10"/>
      <c r="U61" s="10"/>
      <c r="V61" s="10"/>
      <c r="W61" s="10"/>
      <c r="X61" s="10"/>
      <c r="Y61" s="10"/>
      <c r="Z61" s="10"/>
    </row>
    <row r="62" spans="1:18" x14ac:dyDescent="0.25">
      <c r="A62" s="22" t="s">
        <v>485</v>
      </c>
      <c r="B62" s="23" t="s">
        <v>486</v>
      </c>
      <c r="C62" s="22" t="s">
        <v>487</v>
      </c>
      <c r="D62" s="22" t="s">
        <v>488</v>
      </c>
      <c r="E62" s="20" t="s">
        <v>50</v>
      </c>
      <c r="F62" s="22" t="s">
        <v>51</v>
      </c>
      <c r="G62" s="4" t="s">
        <v>65</v>
      </c>
      <c r="H62" s="22" t="s">
        <v>489</v>
      </c>
      <c r="I62" s="22" t="s">
        <v>490</v>
      </c>
      <c r="J62" s="22" t="s">
        <v>491</v>
      </c>
      <c r="K62" s="22" t="s">
        <v>492</v>
      </c>
      <c r="L62" s="22" t="s">
        <v>493</v>
      </c>
      <c r="M62" s="4" t="s">
        <v>58</v>
      </c>
      <c r="N62" s="22" t="s">
        <v>59</v>
      </c>
      <c r="O62" s="22" t="s">
        <v>60</v>
      </c>
      <c r="P62" s="22" t="s">
        <v>494</v>
      </c>
      <c r="Q62" s="22"/>
      <c r="R62" s="22" t="s">
        <v>495</v>
      </c>
    </row>
    <row r="63" spans="1:18" x14ac:dyDescent="0.25">
      <c r="A63" s="22" t="s">
        <v>496</v>
      </c>
      <c r="B63" s="23" t="s">
        <v>486</v>
      </c>
      <c r="C63" s="22" t="s">
        <v>497</v>
      </c>
      <c r="D63" s="22" t="s">
        <v>488</v>
      </c>
      <c r="E63" s="20" t="s">
        <v>50</v>
      </c>
      <c r="F63" s="22" t="s">
        <v>51</v>
      </c>
      <c r="G63" s="4" t="s">
        <v>65</v>
      </c>
      <c r="H63" s="22" t="s">
        <v>268</v>
      </c>
      <c r="I63" s="22" t="s">
        <v>498</v>
      </c>
      <c r="J63" s="22" t="s">
        <v>499</v>
      </c>
      <c r="K63" s="22" t="s">
        <v>500</v>
      </c>
      <c r="L63" s="22" t="s">
        <v>501</v>
      </c>
      <c r="M63" s="4" t="s">
        <v>58</v>
      </c>
      <c r="N63" s="22" t="s">
        <v>59</v>
      </c>
      <c r="O63" s="22" t="s">
        <v>60</v>
      </c>
      <c r="P63" s="22" t="s">
        <v>494</v>
      </c>
      <c r="Q63" s="22"/>
      <c r="R63" s="22" t="s">
        <v>502</v>
      </c>
    </row>
    <row r="64" spans="1:18" x14ac:dyDescent="0.25">
      <c r="A64" s="22" t="s">
        <v>503</v>
      </c>
      <c r="B64" s="23" t="s">
        <v>486</v>
      </c>
      <c r="C64" s="22" t="s">
        <v>504</v>
      </c>
      <c r="D64" s="22" t="s">
        <v>488</v>
      </c>
      <c r="E64" s="20" t="s">
        <v>50</v>
      </c>
      <c r="F64" s="22" t="s">
        <v>75</v>
      </c>
      <c r="G64" s="4" t="s">
        <v>76</v>
      </c>
      <c r="H64" s="22" t="s">
        <v>505</v>
      </c>
      <c r="I64" s="22" t="s">
        <v>506</v>
      </c>
      <c r="J64" s="22" t="s">
        <v>507</v>
      </c>
      <c r="K64" s="22" t="s">
        <v>508</v>
      </c>
      <c r="L64" s="22" t="s">
        <v>509</v>
      </c>
      <c r="M64" s="4" t="s">
        <v>58</v>
      </c>
      <c r="N64" s="22" t="s">
        <v>59</v>
      </c>
      <c r="O64" s="22" t="s">
        <v>60</v>
      </c>
      <c r="P64" s="22" t="s">
        <v>494</v>
      </c>
      <c r="Q64" s="22"/>
      <c r="R64" s="22" t="s">
        <v>82</v>
      </c>
    </row>
    <row r="65" spans="1:18" x14ac:dyDescent="0.25">
      <c r="A65" s="22" t="s">
        <v>510</v>
      </c>
      <c r="B65" s="23" t="s">
        <v>511</v>
      </c>
      <c r="C65" s="22" t="s">
        <v>512</v>
      </c>
      <c r="D65" s="22" t="s">
        <v>513</v>
      </c>
      <c r="E65" s="20" t="s">
        <v>50</v>
      </c>
      <c r="F65" s="22" t="s">
        <v>51</v>
      </c>
      <c r="G65" s="4" t="s">
        <v>65</v>
      </c>
      <c r="H65" s="22" t="s">
        <v>268</v>
      </c>
      <c r="I65" s="22" t="s">
        <v>514</v>
      </c>
      <c r="J65" s="22" t="s">
        <v>515</v>
      </c>
      <c r="K65" s="22" t="s">
        <v>516</v>
      </c>
      <c r="L65" s="22" t="s">
        <v>517</v>
      </c>
      <c r="M65" s="4" t="s">
        <v>58</v>
      </c>
      <c r="N65" s="22" t="s">
        <v>59</v>
      </c>
      <c r="O65" s="22" t="s">
        <v>60</v>
      </c>
      <c r="P65" s="22" t="s">
        <v>494</v>
      </c>
      <c r="Q65" s="22"/>
      <c r="R65" s="22" t="s">
        <v>495</v>
      </c>
    </row>
    <row r="66" spans="1:18" x14ac:dyDescent="0.25">
      <c r="A66" s="22" t="s">
        <v>518</v>
      </c>
      <c r="B66" s="23" t="s">
        <v>511</v>
      </c>
      <c r="C66" s="22" t="s">
        <v>519</v>
      </c>
      <c r="D66" s="22" t="s">
        <v>513</v>
      </c>
      <c r="E66" s="20" t="s">
        <v>50</v>
      </c>
      <c r="F66" s="22" t="s">
        <v>75</v>
      </c>
      <c r="G66" s="4" t="s">
        <v>76</v>
      </c>
      <c r="H66" s="22" t="s">
        <v>268</v>
      </c>
      <c r="I66" s="22" t="s">
        <v>520</v>
      </c>
      <c r="J66" s="22" t="s">
        <v>521</v>
      </c>
      <c r="K66" s="22" t="s">
        <v>522</v>
      </c>
      <c r="L66" s="22" t="s">
        <v>523</v>
      </c>
      <c r="M66" s="4" t="s">
        <v>58</v>
      </c>
      <c r="N66" s="22" t="s">
        <v>59</v>
      </c>
      <c r="O66" s="22" t="s">
        <v>60</v>
      </c>
      <c r="P66" s="22" t="s">
        <v>494</v>
      </c>
      <c r="Q66" s="22"/>
      <c r="R66" s="22" t="s">
        <v>502</v>
      </c>
    </row>
    <row r="67" spans="1:18" x14ac:dyDescent="0.25">
      <c r="A67" s="22" t="s">
        <v>524</v>
      </c>
      <c r="B67" s="23" t="s">
        <v>511</v>
      </c>
      <c r="C67" s="22" t="s">
        <v>525</v>
      </c>
      <c r="D67" s="22" t="s">
        <v>513</v>
      </c>
      <c r="E67" s="20" t="s">
        <v>50</v>
      </c>
      <c r="F67" s="22" t="s">
        <v>51</v>
      </c>
      <c r="G67" s="4" t="s">
        <v>52</v>
      </c>
      <c r="H67" s="22" t="s">
        <v>268</v>
      </c>
      <c r="I67" s="22" t="s">
        <v>526</v>
      </c>
      <c r="J67" s="22" t="s">
        <v>527</v>
      </c>
      <c r="K67" s="22" t="s">
        <v>528</v>
      </c>
      <c r="L67" s="22" t="s">
        <v>529</v>
      </c>
      <c r="M67" s="4" t="s">
        <v>58</v>
      </c>
      <c r="N67" s="22" t="s">
        <v>59</v>
      </c>
      <c r="O67" s="22" t="s">
        <v>60</v>
      </c>
      <c r="P67" s="22" t="s">
        <v>494</v>
      </c>
      <c r="Q67" s="22"/>
      <c r="R67" s="22" t="s">
        <v>82</v>
      </c>
    </row>
    <row r="68" spans="1:18" x14ac:dyDescent="0.25">
      <c r="A68" s="22" t="s">
        <v>530</v>
      </c>
      <c r="B68" s="23" t="s">
        <v>531</v>
      </c>
      <c r="C68" s="22" t="s">
        <v>532</v>
      </c>
      <c r="D68" s="22" t="s">
        <v>533</v>
      </c>
      <c r="E68" s="20" t="s">
        <v>50</v>
      </c>
      <c r="F68" s="22" t="s">
        <v>51</v>
      </c>
      <c r="G68" s="4" t="s">
        <v>65</v>
      </c>
      <c r="H68" s="22" t="s">
        <v>268</v>
      </c>
      <c r="I68" s="22" t="s">
        <v>534</v>
      </c>
      <c r="J68" s="22" t="s">
        <v>535</v>
      </c>
      <c r="K68" s="22" t="s">
        <v>536</v>
      </c>
      <c r="L68" s="22" t="s">
        <v>537</v>
      </c>
      <c r="M68" s="4" t="s">
        <v>58</v>
      </c>
      <c r="N68" s="22" t="s">
        <v>59</v>
      </c>
      <c r="O68" s="22" t="s">
        <v>60</v>
      </c>
      <c r="P68" s="22" t="s">
        <v>494</v>
      </c>
      <c r="Q68" s="22"/>
      <c r="R68" s="22" t="s">
        <v>495</v>
      </c>
    </row>
    <row r="69" spans="1:18" x14ac:dyDescent="0.25">
      <c r="A69" s="22" t="s">
        <v>538</v>
      </c>
      <c r="B69" s="23" t="s">
        <v>531</v>
      </c>
      <c r="C69" s="22" t="s">
        <v>539</v>
      </c>
      <c r="D69" s="22" t="s">
        <v>533</v>
      </c>
      <c r="E69" s="20" t="s">
        <v>50</v>
      </c>
      <c r="F69" s="22" t="s">
        <v>75</v>
      </c>
      <c r="G69" s="4" t="s">
        <v>76</v>
      </c>
      <c r="H69" s="22" t="s">
        <v>268</v>
      </c>
      <c r="I69" s="22" t="s">
        <v>540</v>
      </c>
      <c r="J69" s="22" t="s">
        <v>541</v>
      </c>
      <c r="K69" s="22" t="s">
        <v>542</v>
      </c>
      <c r="L69" s="22" t="s">
        <v>543</v>
      </c>
      <c r="M69" s="4" t="s">
        <v>58</v>
      </c>
      <c r="N69" s="22" t="s">
        <v>59</v>
      </c>
      <c r="O69" s="22" t="s">
        <v>60</v>
      </c>
      <c r="P69" s="22" t="s">
        <v>494</v>
      </c>
      <c r="Q69" s="22"/>
      <c r="R69" s="22" t="s">
        <v>502</v>
      </c>
    </row>
    <row r="70" spans="1:18" x14ac:dyDescent="0.25">
      <c r="A70" s="22" t="s">
        <v>544</v>
      </c>
      <c r="B70" s="23" t="s">
        <v>531</v>
      </c>
      <c r="C70" s="22" t="s">
        <v>545</v>
      </c>
      <c r="D70" s="22" t="s">
        <v>533</v>
      </c>
      <c r="E70" s="20" t="s">
        <v>50</v>
      </c>
      <c r="F70" s="22" t="s">
        <v>101</v>
      </c>
      <c r="G70" s="4" t="s">
        <v>235</v>
      </c>
      <c r="H70" s="22" t="s">
        <v>268</v>
      </c>
      <c r="I70" s="22" t="s">
        <v>546</v>
      </c>
      <c r="J70" s="22" t="s">
        <v>547</v>
      </c>
      <c r="K70" s="22" t="s">
        <v>548</v>
      </c>
      <c r="L70" s="22" t="s">
        <v>549</v>
      </c>
      <c r="M70" s="4" t="s">
        <v>58</v>
      </c>
      <c r="N70" s="22" t="s">
        <v>59</v>
      </c>
      <c r="O70" s="22" t="s">
        <v>60</v>
      </c>
      <c r="P70" s="22" t="s">
        <v>494</v>
      </c>
      <c r="Q70" s="22"/>
      <c r="R70" s="22" t="s">
        <v>82</v>
      </c>
    </row>
    <row r="71" spans="1:18" x14ac:dyDescent="0.25">
      <c r="A71" s="22" t="s">
        <v>550</v>
      </c>
      <c r="B71" s="23" t="s">
        <v>551</v>
      </c>
      <c r="C71" s="22" t="s">
        <v>552</v>
      </c>
      <c r="D71" s="22" t="s">
        <v>553</v>
      </c>
      <c r="E71" s="20" t="s">
        <v>50</v>
      </c>
      <c r="F71" s="22" t="s">
        <v>51</v>
      </c>
      <c r="G71" s="4" t="s">
        <v>65</v>
      </c>
      <c r="H71" s="22" t="s">
        <v>268</v>
      </c>
      <c r="I71" s="22" t="s">
        <v>554</v>
      </c>
      <c r="J71" s="22" t="s">
        <v>555</v>
      </c>
      <c r="K71" s="22" t="s">
        <v>556</v>
      </c>
      <c r="L71" s="22" t="s">
        <v>557</v>
      </c>
      <c r="M71" s="4" t="s">
        <v>58</v>
      </c>
      <c r="N71" s="22" t="s">
        <v>59</v>
      </c>
      <c r="O71" s="22" t="s">
        <v>60</v>
      </c>
      <c r="P71" s="22" t="s">
        <v>494</v>
      </c>
      <c r="Q71" s="22"/>
      <c r="R71" s="22" t="s">
        <v>495</v>
      </c>
    </row>
    <row r="72" spans="1:18" x14ac:dyDescent="0.25">
      <c r="A72" s="22" t="s">
        <v>558</v>
      </c>
      <c r="B72" s="23" t="s">
        <v>551</v>
      </c>
      <c r="C72" s="22" t="s">
        <v>559</v>
      </c>
      <c r="D72" s="22" t="s">
        <v>553</v>
      </c>
      <c r="E72" s="20" t="s">
        <v>50</v>
      </c>
      <c r="F72" s="22" t="s">
        <v>51</v>
      </c>
      <c r="G72" s="4" t="s">
        <v>65</v>
      </c>
      <c r="H72" s="22" t="s">
        <v>268</v>
      </c>
      <c r="I72" s="22" t="s">
        <v>560</v>
      </c>
      <c r="J72" s="22" t="s">
        <v>561</v>
      </c>
      <c r="K72" s="22" t="s">
        <v>562</v>
      </c>
      <c r="L72" s="22" t="s">
        <v>563</v>
      </c>
      <c r="M72" s="4" t="s">
        <v>58</v>
      </c>
      <c r="N72" s="22" t="s">
        <v>59</v>
      </c>
      <c r="O72" s="22" t="s">
        <v>60</v>
      </c>
      <c r="P72" s="22" t="s">
        <v>494</v>
      </c>
      <c r="Q72" s="22"/>
      <c r="R72" s="22" t="s">
        <v>502</v>
      </c>
    </row>
    <row r="73" spans="1:18" x14ac:dyDescent="0.25">
      <c r="A73" s="22" t="s">
        <v>564</v>
      </c>
      <c r="B73" s="23" t="s">
        <v>551</v>
      </c>
      <c r="C73" s="22" t="s">
        <v>565</v>
      </c>
      <c r="D73" s="22" t="s">
        <v>553</v>
      </c>
      <c r="E73" s="20" t="s">
        <v>50</v>
      </c>
      <c r="F73" s="22" t="s">
        <v>101</v>
      </c>
      <c r="G73" s="4" t="s">
        <v>235</v>
      </c>
      <c r="H73" s="22" t="s">
        <v>268</v>
      </c>
      <c r="I73" s="22" t="s">
        <v>566</v>
      </c>
      <c r="J73" s="22" t="s">
        <v>567</v>
      </c>
      <c r="K73" s="22" t="s">
        <v>568</v>
      </c>
      <c r="L73" s="22" t="s">
        <v>569</v>
      </c>
      <c r="M73" s="4" t="s">
        <v>58</v>
      </c>
      <c r="N73" s="22" t="s">
        <v>59</v>
      </c>
      <c r="O73" s="22" t="s">
        <v>60</v>
      </c>
      <c r="P73" s="22" t="s">
        <v>494</v>
      </c>
      <c r="Q73" s="22"/>
      <c r="R73" s="22" t="s">
        <v>82</v>
      </c>
    </row>
    <row r="74" spans="1:18" x14ac:dyDescent="0.25">
      <c r="A74" s="22" t="s">
        <v>570</v>
      </c>
      <c r="B74" s="23" t="s">
        <v>571</v>
      </c>
      <c r="C74" s="22" t="s">
        <v>572</v>
      </c>
      <c r="D74" s="22" t="s">
        <v>573</v>
      </c>
      <c r="E74" s="20" t="s">
        <v>50</v>
      </c>
      <c r="F74" s="22" t="s">
        <v>51</v>
      </c>
      <c r="G74" s="4" t="s">
        <v>52</v>
      </c>
      <c r="H74" s="22" t="s">
        <v>574</v>
      </c>
      <c r="I74" s="22" t="s">
        <v>575</v>
      </c>
      <c r="J74" s="22" t="s">
        <v>576</v>
      </c>
      <c r="K74" s="22" t="s">
        <v>577</v>
      </c>
      <c r="L74" s="22" t="s">
        <v>578</v>
      </c>
      <c r="M74" s="4" t="s">
        <v>71</v>
      </c>
      <c r="N74" s="22" t="s">
        <v>59</v>
      </c>
      <c r="O74" s="22" t="s">
        <v>60</v>
      </c>
      <c r="P74" s="22" t="s">
        <v>494</v>
      </c>
      <c r="Q74" s="22"/>
      <c r="R74" s="22" t="s">
        <v>495</v>
      </c>
    </row>
    <row r="75" spans="1:18" x14ac:dyDescent="0.25">
      <c r="A75" s="22" t="s">
        <v>579</v>
      </c>
      <c r="B75" s="23" t="s">
        <v>571</v>
      </c>
      <c r="C75" s="22" t="s">
        <v>580</v>
      </c>
      <c r="D75" s="22" t="s">
        <v>573</v>
      </c>
      <c r="E75" s="20" t="s">
        <v>50</v>
      </c>
      <c r="F75" s="22" t="s">
        <v>51</v>
      </c>
      <c r="G75" s="4" t="s">
        <v>65</v>
      </c>
      <c r="H75" s="22" t="s">
        <v>581</v>
      </c>
      <c r="I75" s="22" t="s">
        <v>582</v>
      </c>
      <c r="J75" s="22" t="s">
        <v>583</v>
      </c>
      <c r="K75" s="22" t="s">
        <v>584</v>
      </c>
      <c r="L75" s="22" t="s">
        <v>585</v>
      </c>
      <c r="M75" s="4" t="s">
        <v>71</v>
      </c>
      <c r="N75" s="22" t="s">
        <v>59</v>
      </c>
      <c r="O75" s="22" t="s">
        <v>60</v>
      </c>
      <c r="P75" s="22" t="s">
        <v>494</v>
      </c>
      <c r="Q75" s="22"/>
      <c r="R75" s="22" t="s">
        <v>502</v>
      </c>
    </row>
    <row r="76" spans="1:18" x14ac:dyDescent="0.25">
      <c r="A76" s="22" t="s">
        <v>586</v>
      </c>
      <c r="B76" s="23" t="s">
        <v>571</v>
      </c>
      <c r="C76" s="22" t="s">
        <v>587</v>
      </c>
      <c r="D76" s="22" t="s">
        <v>573</v>
      </c>
      <c r="E76" s="20" t="s">
        <v>50</v>
      </c>
      <c r="F76" s="22" t="s">
        <v>75</v>
      </c>
      <c r="G76" s="4" t="s">
        <v>76</v>
      </c>
      <c r="H76" s="22" t="s">
        <v>581</v>
      </c>
      <c r="I76" s="22" t="s">
        <v>588</v>
      </c>
      <c r="J76" s="22" t="s">
        <v>589</v>
      </c>
      <c r="K76" s="22" t="s">
        <v>590</v>
      </c>
      <c r="L76" s="22" t="s">
        <v>585</v>
      </c>
      <c r="M76" s="4" t="s">
        <v>71</v>
      </c>
      <c r="N76" s="22" t="s">
        <v>59</v>
      </c>
      <c r="O76" s="22" t="s">
        <v>60</v>
      </c>
      <c r="P76" s="22" t="s">
        <v>494</v>
      </c>
      <c r="Q76" s="22"/>
      <c r="R76" s="22" t="s">
        <v>82</v>
      </c>
    </row>
    <row r="77" spans="1:18" x14ac:dyDescent="0.25">
      <c r="A77" s="22" t="s">
        <v>591</v>
      </c>
      <c r="B77" s="23" t="s">
        <v>592</v>
      </c>
      <c r="C77" s="22" t="s">
        <v>593</v>
      </c>
      <c r="D77" s="22" t="s">
        <v>594</v>
      </c>
      <c r="E77" s="20" t="s">
        <v>50</v>
      </c>
      <c r="F77" s="22" t="s">
        <v>51</v>
      </c>
      <c r="G77" s="4" t="s">
        <v>65</v>
      </c>
      <c r="H77" s="22" t="s">
        <v>595</v>
      </c>
      <c r="I77" s="22" t="s">
        <v>596</v>
      </c>
      <c r="J77" s="22" t="s">
        <v>597</v>
      </c>
      <c r="K77" s="22" t="s">
        <v>598</v>
      </c>
      <c r="L77" s="22" t="s">
        <v>585</v>
      </c>
      <c r="M77" s="4" t="s">
        <v>71</v>
      </c>
      <c r="N77" s="22" t="s">
        <v>59</v>
      </c>
      <c r="O77" s="22" t="s">
        <v>60</v>
      </c>
      <c r="P77" s="22" t="s">
        <v>494</v>
      </c>
      <c r="Q77" s="22"/>
      <c r="R77" s="22" t="s">
        <v>495</v>
      </c>
    </row>
    <row r="78" spans="1:18" x14ac:dyDescent="0.25">
      <c r="A78" s="22" t="s">
        <v>599</v>
      </c>
      <c r="B78" s="23" t="s">
        <v>592</v>
      </c>
      <c r="C78" s="22" t="s">
        <v>600</v>
      </c>
      <c r="D78" s="22" t="s">
        <v>594</v>
      </c>
      <c r="E78" s="20" t="s">
        <v>50</v>
      </c>
      <c r="F78" s="22" t="s">
        <v>51</v>
      </c>
      <c r="G78" s="4" t="s">
        <v>65</v>
      </c>
      <c r="H78" s="22" t="s">
        <v>601</v>
      </c>
      <c r="I78" s="22" t="s">
        <v>602</v>
      </c>
      <c r="J78" s="22" t="s">
        <v>603</v>
      </c>
      <c r="K78" s="22" t="s">
        <v>604</v>
      </c>
      <c r="L78" s="22" t="s">
        <v>585</v>
      </c>
      <c r="M78" s="4" t="s">
        <v>71</v>
      </c>
      <c r="N78" s="22" t="s">
        <v>59</v>
      </c>
      <c r="O78" s="22" t="s">
        <v>60</v>
      </c>
      <c r="P78" s="22" t="s">
        <v>494</v>
      </c>
      <c r="Q78" s="22"/>
      <c r="R78" s="22" t="s">
        <v>502</v>
      </c>
    </row>
    <row r="79" spans="1:18" x14ac:dyDescent="0.25">
      <c r="A79" s="22" t="s">
        <v>605</v>
      </c>
      <c r="B79" s="23" t="s">
        <v>592</v>
      </c>
      <c r="C79" s="22" t="s">
        <v>606</v>
      </c>
      <c r="D79" s="22" t="s">
        <v>594</v>
      </c>
      <c r="E79" s="20" t="s">
        <v>124</v>
      </c>
      <c r="F79" s="22" t="s">
        <v>51</v>
      </c>
      <c r="G79" s="4" t="s">
        <v>52</v>
      </c>
      <c r="H79" s="22" t="s">
        <v>607</v>
      </c>
      <c r="I79" s="22" t="s">
        <v>608</v>
      </c>
      <c r="J79" s="22" t="s">
        <v>609</v>
      </c>
      <c r="K79" s="22" t="s">
        <v>610</v>
      </c>
      <c r="L79" s="22" t="s">
        <v>611</v>
      </c>
      <c r="M79" s="4" t="s">
        <v>58</v>
      </c>
      <c r="N79" s="22" t="s">
        <v>59</v>
      </c>
      <c r="O79" s="22" t="s">
        <v>60</v>
      </c>
      <c r="P79" s="22" t="s">
        <v>494</v>
      </c>
      <c r="Q79" s="22"/>
      <c r="R79" s="22" t="s">
        <v>82</v>
      </c>
    </row>
    <row r="80" spans="1:18" x14ac:dyDescent="0.25">
      <c r="A80" s="22" t="s">
        <v>612</v>
      </c>
      <c r="B80" s="23" t="s">
        <v>613</v>
      </c>
      <c r="C80" s="22" t="s">
        <v>614</v>
      </c>
      <c r="D80" s="22" t="s">
        <v>615</v>
      </c>
      <c r="E80" s="20" t="s">
        <v>50</v>
      </c>
      <c r="F80" s="22" t="s">
        <v>51</v>
      </c>
      <c r="G80" s="4" t="s">
        <v>65</v>
      </c>
      <c r="H80" s="22" t="s">
        <v>616</v>
      </c>
      <c r="I80" s="22" t="s">
        <v>617</v>
      </c>
      <c r="J80" s="22" t="s">
        <v>618</v>
      </c>
      <c r="K80" s="22" t="s">
        <v>619</v>
      </c>
      <c r="L80" s="22" t="s">
        <v>585</v>
      </c>
      <c r="M80" s="4" t="s">
        <v>71</v>
      </c>
      <c r="N80" s="22" t="s">
        <v>59</v>
      </c>
      <c r="O80" s="22" t="s">
        <v>60</v>
      </c>
      <c r="P80" s="22" t="s">
        <v>494</v>
      </c>
      <c r="Q80" s="22"/>
      <c r="R80" s="22" t="s">
        <v>495</v>
      </c>
    </row>
    <row r="81" spans="1:18" x14ac:dyDescent="0.25">
      <c r="A81" s="22" t="s">
        <v>620</v>
      </c>
      <c r="B81" s="23" t="s">
        <v>613</v>
      </c>
      <c r="C81" s="22" t="s">
        <v>621</v>
      </c>
      <c r="D81" s="22" t="s">
        <v>615</v>
      </c>
      <c r="E81" s="20" t="s">
        <v>50</v>
      </c>
      <c r="F81" s="22" t="s">
        <v>75</v>
      </c>
      <c r="G81" s="4" t="s">
        <v>76</v>
      </c>
      <c r="H81" s="22" t="s">
        <v>622</v>
      </c>
      <c r="I81" s="22" t="s">
        <v>623</v>
      </c>
      <c r="J81" s="22" t="s">
        <v>624</v>
      </c>
      <c r="K81" s="22" t="s">
        <v>625</v>
      </c>
      <c r="L81" s="22" t="s">
        <v>585</v>
      </c>
      <c r="M81" s="4" t="s">
        <v>71</v>
      </c>
      <c r="N81" s="22" t="s">
        <v>59</v>
      </c>
      <c r="O81" s="22" t="s">
        <v>60</v>
      </c>
      <c r="P81" s="22" t="s">
        <v>494</v>
      </c>
      <c r="Q81" s="22"/>
      <c r="R81" s="22" t="s">
        <v>502</v>
      </c>
    </row>
    <row r="82" spans="1:18" x14ac:dyDescent="0.25">
      <c r="A82" s="22" t="s">
        <v>626</v>
      </c>
      <c r="B82" s="23" t="s">
        <v>613</v>
      </c>
      <c r="C82" s="22" t="s">
        <v>627</v>
      </c>
      <c r="D82" s="22" t="s">
        <v>615</v>
      </c>
      <c r="E82" s="20" t="s">
        <v>50</v>
      </c>
      <c r="F82" s="22" t="s">
        <v>51</v>
      </c>
      <c r="G82" s="4" t="s">
        <v>65</v>
      </c>
      <c r="H82" s="22" t="s">
        <v>628</v>
      </c>
      <c r="I82" s="22" t="s">
        <v>629</v>
      </c>
      <c r="J82" s="22" t="s">
        <v>630</v>
      </c>
      <c r="K82" s="22" t="s">
        <v>631</v>
      </c>
      <c r="L82" s="22" t="s">
        <v>585</v>
      </c>
      <c r="M82" s="4" t="s">
        <v>71</v>
      </c>
      <c r="N82" s="22" t="s">
        <v>59</v>
      </c>
      <c r="O82" s="22" t="s">
        <v>60</v>
      </c>
      <c r="P82" s="22" t="s">
        <v>494</v>
      </c>
      <c r="Q82" s="22"/>
      <c r="R82" s="22" t="s">
        <v>82</v>
      </c>
    </row>
    <row r="83" spans="1:18" x14ac:dyDescent="0.25">
      <c r="A83" s="22" t="s">
        <v>632</v>
      </c>
      <c r="B83" s="23" t="s">
        <v>633</v>
      </c>
      <c r="C83" s="22" t="s">
        <v>634</v>
      </c>
      <c r="D83" s="22" t="s">
        <v>635</v>
      </c>
      <c r="E83" s="20" t="s">
        <v>50</v>
      </c>
      <c r="F83" s="22" t="s">
        <v>51</v>
      </c>
      <c r="G83" s="4" t="s">
        <v>65</v>
      </c>
      <c r="H83" s="22" t="s">
        <v>636</v>
      </c>
      <c r="I83" s="22" t="s">
        <v>637</v>
      </c>
      <c r="J83" s="22" t="s">
        <v>638</v>
      </c>
      <c r="K83" s="22" t="s">
        <v>639</v>
      </c>
      <c r="L83" s="22" t="s">
        <v>585</v>
      </c>
      <c r="M83" s="4" t="s">
        <v>71</v>
      </c>
      <c r="N83" s="22" t="s">
        <v>59</v>
      </c>
      <c r="O83" s="22" t="s">
        <v>60</v>
      </c>
      <c r="P83" s="22" t="s">
        <v>494</v>
      </c>
      <c r="Q83" s="22"/>
      <c r="R83" s="22" t="s">
        <v>495</v>
      </c>
    </row>
    <row r="84" spans="1:18" x14ac:dyDescent="0.25">
      <c r="A84" s="22" t="s">
        <v>640</v>
      </c>
      <c r="B84" s="23" t="s">
        <v>633</v>
      </c>
      <c r="C84" s="22" t="s">
        <v>641</v>
      </c>
      <c r="D84" s="22" t="s">
        <v>635</v>
      </c>
      <c r="E84" s="20" t="s">
        <v>50</v>
      </c>
      <c r="F84" s="22" t="s">
        <v>75</v>
      </c>
      <c r="G84" s="4" t="s">
        <v>76</v>
      </c>
      <c r="H84" s="22" t="s">
        <v>642</v>
      </c>
      <c r="I84" s="22" t="s">
        <v>643</v>
      </c>
      <c r="J84" s="22" t="s">
        <v>644</v>
      </c>
      <c r="K84" s="22" t="s">
        <v>645</v>
      </c>
      <c r="L84" s="22" t="s">
        <v>585</v>
      </c>
      <c r="M84" s="4" t="s">
        <v>71</v>
      </c>
      <c r="N84" s="22" t="s">
        <v>59</v>
      </c>
      <c r="O84" s="22" t="s">
        <v>60</v>
      </c>
      <c r="P84" s="22" t="s">
        <v>494</v>
      </c>
      <c r="Q84" s="22"/>
      <c r="R84" s="22" t="s">
        <v>502</v>
      </c>
    </row>
    <row r="85" spans="1:18" x14ac:dyDescent="0.25">
      <c r="A85" s="22" t="s">
        <v>646</v>
      </c>
      <c r="B85" s="23" t="s">
        <v>633</v>
      </c>
      <c r="C85" s="22" t="s">
        <v>647</v>
      </c>
      <c r="D85" s="22" t="s">
        <v>635</v>
      </c>
      <c r="E85" s="20" t="s">
        <v>50</v>
      </c>
      <c r="F85" s="22" t="s">
        <v>101</v>
      </c>
      <c r="G85" s="4" t="s">
        <v>235</v>
      </c>
      <c r="H85" s="22" t="s">
        <v>642</v>
      </c>
      <c r="I85" s="22" t="s">
        <v>648</v>
      </c>
      <c r="J85" s="22" t="s">
        <v>649</v>
      </c>
      <c r="K85" s="22" t="s">
        <v>650</v>
      </c>
      <c r="L85" s="22" t="s">
        <v>585</v>
      </c>
      <c r="M85" s="4" t="s">
        <v>71</v>
      </c>
      <c r="N85" s="22" t="s">
        <v>59</v>
      </c>
      <c r="O85" s="22" t="s">
        <v>60</v>
      </c>
      <c r="P85" s="22" t="s">
        <v>494</v>
      </c>
      <c r="Q85" s="22"/>
      <c r="R85" s="22" t="s">
        <v>82</v>
      </c>
    </row>
    <row r="86" spans="1:18" x14ac:dyDescent="0.25">
      <c r="A86" s="22" t="s">
        <v>651</v>
      </c>
      <c r="B86" s="23" t="s">
        <v>652</v>
      </c>
      <c r="C86" s="22" t="s">
        <v>653</v>
      </c>
      <c r="D86" s="22" t="s">
        <v>654</v>
      </c>
      <c r="E86" s="20" t="s">
        <v>50</v>
      </c>
      <c r="F86" s="22" t="s">
        <v>51</v>
      </c>
      <c r="G86" s="4" t="s">
        <v>65</v>
      </c>
      <c r="H86" s="22" t="s">
        <v>655</v>
      </c>
      <c r="I86" s="22" t="s">
        <v>656</v>
      </c>
      <c r="J86" s="22" t="s">
        <v>657</v>
      </c>
      <c r="K86" s="22" t="s">
        <v>658</v>
      </c>
      <c r="L86" s="22" t="s">
        <v>585</v>
      </c>
      <c r="M86" s="4" t="s">
        <v>71</v>
      </c>
      <c r="N86" s="22" t="s">
        <v>59</v>
      </c>
      <c r="O86" s="22" t="s">
        <v>60</v>
      </c>
      <c r="P86" s="22" t="s">
        <v>494</v>
      </c>
      <c r="Q86" s="22"/>
      <c r="R86" s="22" t="s">
        <v>495</v>
      </c>
    </row>
    <row r="87" spans="1:18" x14ac:dyDescent="0.25">
      <c r="A87" s="22" t="s">
        <v>659</v>
      </c>
      <c r="B87" s="23" t="s">
        <v>652</v>
      </c>
      <c r="C87" s="22" t="s">
        <v>660</v>
      </c>
      <c r="D87" s="22" t="s">
        <v>654</v>
      </c>
      <c r="E87" s="20" t="s">
        <v>50</v>
      </c>
      <c r="F87" s="22" t="s">
        <v>75</v>
      </c>
      <c r="G87" s="4" t="s">
        <v>76</v>
      </c>
      <c r="H87" s="22" t="s">
        <v>661</v>
      </c>
      <c r="I87" s="22" t="s">
        <v>662</v>
      </c>
      <c r="J87" s="22" t="s">
        <v>663</v>
      </c>
      <c r="K87" s="22" t="s">
        <v>664</v>
      </c>
      <c r="L87" s="22" t="s">
        <v>585</v>
      </c>
      <c r="M87" s="4" t="s">
        <v>71</v>
      </c>
      <c r="N87" s="22" t="s">
        <v>59</v>
      </c>
      <c r="O87" s="22" t="s">
        <v>60</v>
      </c>
      <c r="P87" s="22" t="s">
        <v>494</v>
      </c>
      <c r="Q87" s="22"/>
      <c r="R87" s="22" t="s">
        <v>502</v>
      </c>
    </row>
    <row r="88" spans="1:18" x14ac:dyDescent="0.25">
      <c r="A88" s="22" t="s">
        <v>665</v>
      </c>
      <c r="B88" s="23" t="s">
        <v>652</v>
      </c>
      <c r="C88" s="22" t="s">
        <v>666</v>
      </c>
      <c r="D88" s="22" t="s">
        <v>654</v>
      </c>
      <c r="E88" s="20" t="s">
        <v>50</v>
      </c>
      <c r="F88" s="22" t="s">
        <v>75</v>
      </c>
      <c r="G88" s="4" t="s">
        <v>235</v>
      </c>
      <c r="H88" s="22" t="s">
        <v>667</v>
      </c>
      <c r="I88" s="22" t="s">
        <v>668</v>
      </c>
      <c r="J88" s="22" t="s">
        <v>669</v>
      </c>
      <c r="K88" s="22" t="s">
        <v>670</v>
      </c>
      <c r="L88" s="22" t="s">
        <v>585</v>
      </c>
      <c r="M88" s="4" t="s">
        <v>71</v>
      </c>
      <c r="N88" s="22" t="s">
        <v>59</v>
      </c>
      <c r="O88" s="22" t="s">
        <v>60</v>
      </c>
      <c r="P88" s="22" t="s">
        <v>494</v>
      </c>
      <c r="Q88" s="22"/>
      <c r="R88" s="22" t="s">
        <v>82</v>
      </c>
    </row>
    <row r="89" spans="1:18" x14ac:dyDescent="0.25">
      <c r="A89" s="22" t="s">
        <v>671</v>
      </c>
      <c r="B89" s="23" t="s">
        <v>672</v>
      </c>
      <c r="C89" s="22" t="s">
        <v>673</v>
      </c>
      <c r="D89" s="22" t="s">
        <v>674</v>
      </c>
      <c r="E89" s="20" t="s">
        <v>50</v>
      </c>
      <c r="F89" s="22" t="s">
        <v>75</v>
      </c>
      <c r="G89" s="4" t="s">
        <v>76</v>
      </c>
      <c r="H89" s="22" t="s">
        <v>655</v>
      </c>
      <c r="I89" s="22" t="s">
        <v>675</v>
      </c>
      <c r="J89" s="22" t="s">
        <v>676</v>
      </c>
      <c r="K89" s="22" t="s">
        <v>677</v>
      </c>
      <c r="L89" s="22" t="s">
        <v>585</v>
      </c>
      <c r="M89" s="4" t="s">
        <v>71</v>
      </c>
      <c r="N89" s="22" t="s">
        <v>59</v>
      </c>
      <c r="O89" s="22" t="s">
        <v>60</v>
      </c>
      <c r="P89" s="22" t="s">
        <v>494</v>
      </c>
      <c r="Q89" s="22"/>
      <c r="R89" s="22" t="s">
        <v>495</v>
      </c>
    </row>
    <row r="90" spans="1:18" x14ac:dyDescent="0.25">
      <c r="A90" s="22" t="s">
        <v>678</v>
      </c>
      <c r="B90" s="23" t="s">
        <v>672</v>
      </c>
      <c r="C90" s="22" t="s">
        <v>679</v>
      </c>
      <c r="D90" s="22" t="s">
        <v>674</v>
      </c>
      <c r="E90" s="20" t="s">
        <v>50</v>
      </c>
      <c r="F90" s="22" t="s">
        <v>75</v>
      </c>
      <c r="G90" s="4" t="s">
        <v>65</v>
      </c>
      <c r="H90" s="22" t="s">
        <v>680</v>
      </c>
      <c r="I90" s="22" t="s">
        <v>681</v>
      </c>
      <c r="J90" s="22" t="s">
        <v>682</v>
      </c>
      <c r="K90" s="22" t="s">
        <v>683</v>
      </c>
      <c r="L90" s="22" t="s">
        <v>585</v>
      </c>
      <c r="M90" s="4" t="s">
        <v>71</v>
      </c>
      <c r="N90" s="22" t="s">
        <v>59</v>
      </c>
      <c r="O90" s="22" t="s">
        <v>60</v>
      </c>
      <c r="P90" s="22" t="s">
        <v>494</v>
      </c>
      <c r="Q90" s="22"/>
      <c r="R90" s="22" t="s">
        <v>502</v>
      </c>
    </row>
    <row r="91" spans="1:18" x14ac:dyDescent="0.25">
      <c r="A91" s="22" t="s">
        <v>684</v>
      </c>
      <c r="B91" s="23" t="s">
        <v>672</v>
      </c>
      <c r="C91" s="22" t="s">
        <v>685</v>
      </c>
      <c r="D91" s="22" t="s">
        <v>674</v>
      </c>
      <c r="E91" s="20" t="s">
        <v>50</v>
      </c>
      <c r="F91" s="22" t="s">
        <v>101</v>
      </c>
      <c r="G91" s="4" t="s">
        <v>235</v>
      </c>
      <c r="H91" s="22" t="s">
        <v>686</v>
      </c>
      <c r="I91" s="22" t="s">
        <v>687</v>
      </c>
      <c r="J91" s="22" t="s">
        <v>688</v>
      </c>
      <c r="K91" s="22" t="s">
        <v>689</v>
      </c>
      <c r="L91" s="22" t="s">
        <v>585</v>
      </c>
      <c r="M91" s="4" t="s">
        <v>71</v>
      </c>
      <c r="N91" s="22" t="s">
        <v>59</v>
      </c>
      <c r="O91" s="22" t="s">
        <v>60</v>
      </c>
      <c r="P91" s="22" t="s">
        <v>494</v>
      </c>
      <c r="Q91" s="22"/>
      <c r="R91" s="22" t="s">
        <v>82</v>
      </c>
    </row>
    <row r="92" ht="15.75" customHeight="1" spans="1:18" x14ac:dyDescent="0.25">
      <c r="A92" s="22"/>
      <c r="B92" s="23"/>
      <c r="C92" s="22"/>
      <c r="D92" s="22"/>
      <c r="E92" s="20" t="s">
        <v>50</v>
      </c>
      <c r="F92" s="22"/>
      <c r="G92" s="4" t="s">
        <v>235</v>
      </c>
      <c r="H92" s="22"/>
      <c r="I92" s="22"/>
      <c r="J92" s="22"/>
      <c r="K92" s="22"/>
      <c r="L92" s="22"/>
      <c r="M92" s="4" t="s">
        <v>690</v>
      </c>
      <c r="N92" s="22"/>
      <c r="O92" s="22"/>
      <c r="P92" s="22"/>
      <c r="Q92" s="22"/>
      <c r="R92" s="22"/>
    </row>
    <row r="93" ht="15.75" customHeight="1" spans="1:18" x14ac:dyDescent="0.25">
      <c r="A93" s="22"/>
      <c r="B93" s="23"/>
      <c r="C93" s="22"/>
      <c r="D93" s="22"/>
      <c r="E93" s="20" t="s">
        <v>50</v>
      </c>
      <c r="F93" s="22"/>
      <c r="G93" s="4" t="s">
        <v>235</v>
      </c>
      <c r="H93" s="22"/>
      <c r="I93" s="22"/>
      <c r="J93" s="22"/>
      <c r="K93" s="22"/>
      <c r="L93" s="22"/>
      <c r="M93" s="4" t="s">
        <v>690</v>
      </c>
      <c r="N93" s="22"/>
      <c r="O93" s="22"/>
      <c r="P93" s="22"/>
      <c r="Q93" s="22"/>
      <c r="R93" s="22"/>
    </row>
    <row r="94" ht="15.75" customHeight="1" spans="1:18" x14ac:dyDescent="0.25">
      <c r="A94" s="22"/>
      <c r="B94" s="23"/>
      <c r="C94" s="22"/>
      <c r="D94" s="22"/>
      <c r="E94" s="20" t="s">
        <v>50</v>
      </c>
      <c r="F94" s="22"/>
      <c r="G94" s="4" t="s">
        <v>235</v>
      </c>
      <c r="H94" s="22"/>
      <c r="I94" s="22"/>
      <c r="J94" s="22"/>
      <c r="K94" s="22"/>
      <c r="L94" s="22"/>
      <c r="M94" s="4" t="s">
        <v>690</v>
      </c>
      <c r="N94" s="22"/>
      <c r="O94" s="22"/>
      <c r="P94" s="22"/>
      <c r="Q94" s="22"/>
      <c r="R94" s="22"/>
    </row>
    <row r="95" ht="15.75" customHeight="1" spans="1:18" x14ac:dyDescent="0.25">
      <c r="A95" s="22"/>
      <c r="B95" s="23"/>
      <c r="C95" s="22"/>
      <c r="D95" s="22"/>
      <c r="E95" s="20" t="s">
        <v>50</v>
      </c>
      <c r="F95" s="22"/>
      <c r="G95" s="4" t="s">
        <v>235</v>
      </c>
      <c r="H95" s="22"/>
      <c r="I95" s="22"/>
      <c r="J95" s="22"/>
      <c r="K95" s="22"/>
      <c r="L95" s="22"/>
      <c r="M95" s="4" t="s">
        <v>690</v>
      </c>
      <c r="N95" s="22"/>
      <c r="O95" s="22"/>
      <c r="P95" s="22"/>
      <c r="Q95" s="22"/>
      <c r="R95" s="22"/>
    </row>
    <row r="96" ht="15.75" customHeight="1" spans="1:18" x14ac:dyDescent="0.25">
      <c r="A96" s="22"/>
      <c r="B96" s="23"/>
      <c r="C96" s="22"/>
      <c r="D96" s="22"/>
      <c r="E96" s="20" t="s">
        <v>50</v>
      </c>
      <c r="F96" s="22"/>
      <c r="G96" s="4" t="s">
        <v>235</v>
      </c>
      <c r="H96" s="22"/>
      <c r="I96" s="22"/>
      <c r="J96" s="22"/>
      <c r="K96" s="22"/>
      <c r="L96" s="22"/>
      <c r="M96" s="4" t="s">
        <v>690</v>
      </c>
      <c r="N96" s="22"/>
      <c r="O96" s="22"/>
      <c r="P96" s="22"/>
      <c r="Q96" s="22"/>
      <c r="R96" s="22"/>
    </row>
    <row r="97" ht="15.75" customHeight="1" spans="1:18" x14ac:dyDescent="0.25">
      <c r="A97" s="22"/>
      <c r="B97" s="23"/>
      <c r="C97" s="22"/>
      <c r="D97" s="22"/>
      <c r="E97" s="20" t="s">
        <v>50</v>
      </c>
      <c r="F97" s="22"/>
      <c r="G97" s="4" t="s">
        <v>235</v>
      </c>
      <c r="H97" s="22"/>
      <c r="I97" s="22"/>
      <c r="J97" s="22"/>
      <c r="K97" s="22"/>
      <c r="L97" s="22"/>
      <c r="M97" s="4" t="s">
        <v>690</v>
      </c>
      <c r="N97" s="22"/>
      <c r="O97" s="22"/>
      <c r="P97" s="22"/>
      <c r="Q97" s="22"/>
      <c r="R97" s="22"/>
    </row>
    <row r="98" ht="15.75" customHeight="1" spans="1:18" x14ac:dyDescent="0.25">
      <c r="A98" s="22"/>
      <c r="B98" s="23"/>
      <c r="C98" s="22"/>
      <c r="D98" s="22"/>
      <c r="E98" s="20" t="s">
        <v>50</v>
      </c>
      <c r="F98" s="22"/>
      <c r="G98" s="4" t="s">
        <v>235</v>
      </c>
      <c r="H98" s="22"/>
      <c r="I98" s="22"/>
      <c r="J98" s="22"/>
      <c r="K98" s="22"/>
      <c r="L98" s="22"/>
      <c r="M98" s="4" t="s">
        <v>690</v>
      </c>
      <c r="N98" s="22"/>
      <c r="O98" s="22"/>
      <c r="P98" s="22"/>
      <c r="Q98" s="22"/>
      <c r="R98" s="22"/>
    </row>
    <row r="99" ht="15.75" customHeight="1" spans="1:18" x14ac:dyDescent="0.25">
      <c r="A99" s="22"/>
      <c r="B99" s="23"/>
      <c r="C99" s="22"/>
      <c r="D99" s="22"/>
      <c r="E99" s="20" t="s">
        <v>50</v>
      </c>
      <c r="F99" s="22"/>
      <c r="G99" s="4" t="s">
        <v>235</v>
      </c>
      <c r="H99" s="22"/>
      <c r="I99" s="22"/>
      <c r="J99" s="22"/>
      <c r="K99" s="22"/>
      <c r="L99" s="22"/>
      <c r="M99" s="4" t="s">
        <v>690</v>
      </c>
      <c r="N99" s="22"/>
      <c r="O99" s="22"/>
      <c r="P99" s="22"/>
      <c r="Q99" s="22"/>
      <c r="R99" s="22"/>
    </row>
    <row r="100" ht="15.75" customHeight="1" spans="1:18" x14ac:dyDescent="0.25">
      <c r="A100" s="22"/>
      <c r="B100" s="23"/>
      <c r="C100" s="22"/>
      <c r="D100" s="22"/>
      <c r="E100" s="20" t="s">
        <v>50</v>
      </c>
      <c r="F100" s="22"/>
      <c r="G100" s="4" t="s">
        <v>235</v>
      </c>
      <c r="H100" s="22"/>
      <c r="I100" s="22"/>
      <c r="J100" s="22"/>
      <c r="K100" s="22"/>
      <c r="L100" s="22"/>
      <c r="M100" s="4" t="s">
        <v>690</v>
      </c>
      <c r="N100" s="22"/>
      <c r="O100" s="22"/>
      <c r="P100" s="22"/>
      <c r="Q100" s="22"/>
      <c r="R100" s="22"/>
    </row>
    <row r="101" ht="15.75" customHeight="1" spans="1:18" x14ac:dyDescent="0.25">
      <c r="A101" s="22"/>
      <c r="B101" s="23"/>
      <c r="C101" s="22"/>
      <c r="D101" s="22"/>
      <c r="E101" s="20" t="s">
        <v>50</v>
      </c>
      <c r="F101" s="22"/>
      <c r="G101" s="4" t="s">
        <v>235</v>
      </c>
      <c r="H101" s="22"/>
      <c r="I101" s="22"/>
      <c r="J101" s="22"/>
      <c r="K101" s="22"/>
      <c r="L101" s="22"/>
      <c r="M101" s="4" t="s">
        <v>690</v>
      </c>
      <c r="N101" s="22"/>
      <c r="O101" s="22"/>
      <c r="P101" s="22"/>
      <c r="Q101" s="22"/>
      <c r="R101" s="22"/>
    </row>
    <row r="102" ht="15.75" customHeight="1" spans="1:18" x14ac:dyDescent="0.25">
      <c r="A102" s="22"/>
      <c r="B102" s="23"/>
      <c r="C102" s="22"/>
      <c r="D102" s="22"/>
      <c r="E102" s="20" t="s">
        <v>50</v>
      </c>
      <c r="F102" s="22"/>
      <c r="G102" s="4" t="s">
        <v>235</v>
      </c>
      <c r="H102" s="22"/>
      <c r="I102" s="22"/>
      <c r="J102" s="22"/>
      <c r="K102" s="22"/>
      <c r="L102" s="22"/>
      <c r="M102" s="4" t="s">
        <v>690</v>
      </c>
      <c r="N102" s="22"/>
      <c r="O102" s="22"/>
      <c r="P102" s="22"/>
      <c r="Q102" s="22"/>
      <c r="R102" s="22"/>
    </row>
    <row r="103" ht="15.75" customHeight="1" spans="1:18" x14ac:dyDescent="0.25">
      <c r="A103" s="22"/>
      <c r="B103" s="23"/>
      <c r="C103" s="22"/>
      <c r="D103" s="22"/>
      <c r="E103" s="20" t="s">
        <v>50</v>
      </c>
      <c r="F103" s="22"/>
      <c r="G103" s="4" t="s">
        <v>235</v>
      </c>
      <c r="H103" s="22"/>
      <c r="I103" s="22"/>
      <c r="J103" s="22"/>
      <c r="K103" s="22"/>
      <c r="L103" s="22"/>
      <c r="M103" s="4" t="s">
        <v>690</v>
      </c>
      <c r="N103" s="22"/>
      <c r="O103" s="22"/>
      <c r="P103" s="22"/>
      <c r="Q103" s="22"/>
      <c r="R103" s="22"/>
    </row>
    <row r="104" ht="15.75" customHeight="1" spans="1:18" x14ac:dyDescent="0.25">
      <c r="A104" s="22"/>
      <c r="B104" s="23"/>
      <c r="C104" s="22"/>
      <c r="D104" s="22"/>
      <c r="E104" s="20" t="s">
        <v>50</v>
      </c>
      <c r="F104" s="22"/>
      <c r="G104" s="4" t="s">
        <v>235</v>
      </c>
      <c r="H104" s="22"/>
      <c r="I104" s="22"/>
      <c r="J104" s="22"/>
      <c r="K104" s="22"/>
      <c r="L104" s="22"/>
      <c r="M104" s="4" t="s">
        <v>690</v>
      </c>
      <c r="N104" s="22"/>
      <c r="O104" s="22"/>
      <c r="P104" s="22"/>
      <c r="Q104" s="22"/>
      <c r="R104" s="22"/>
    </row>
    <row r="105" ht="15.75" customHeight="1" spans="1:18" x14ac:dyDescent="0.25">
      <c r="A105" s="22"/>
      <c r="B105" s="23"/>
      <c r="C105" s="22"/>
      <c r="D105" s="22"/>
      <c r="E105" s="20" t="s">
        <v>50</v>
      </c>
      <c r="F105" s="22"/>
      <c r="G105" s="4" t="s">
        <v>235</v>
      </c>
      <c r="H105" s="22"/>
      <c r="I105" s="22"/>
      <c r="J105" s="22"/>
      <c r="K105" s="22"/>
      <c r="L105" s="22"/>
      <c r="M105" s="4" t="s">
        <v>690</v>
      </c>
      <c r="N105" s="22"/>
      <c r="O105" s="22"/>
      <c r="P105" s="22"/>
      <c r="Q105" s="22"/>
      <c r="R105" s="22"/>
    </row>
    <row r="106" ht="15.75" customHeight="1" spans="1:18" x14ac:dyDescent="0.25">
      <c r="A106" s="22"/>
      <c r="B106" s="23"/>
      <c r="C106" s="22"/>
      <c r="D106" s="22"/>
      <c r="E106" s="20" t="s">
        <v>50</v>
      </c>
      <c r="F106" s="22"/>
      <c r="G106" s="4" t="s">
        <v>235</v>
      </c>
      <c r="H106" s="22"/>
      <c r="I106" s="22"/>
      <c r="J106" s="22"/>
      <c r="K106" s="22"/>
      <c r="L106" s="22"/>
      <c r="M106" s="4" t="s">
        <v>690</v>
      </c>
      <c r="N106" s="22"/>
      <c r="O106" s="22"/>
      <c r="P106" s="22"/>
      <c r="Q106" s="22"/>
      <c r="R106" s="22"/>
    </row>
    <row r="107" ht="15.75" customHeight="1" spans="1:18" x14ac:dyDescent="0.25">
      <c r="A107" s="22"/>
      <c r="B107" s="23"/>
      <c r="C107" s="22"/>
      <c r="D107" s="22"/>
      <c r="E107" s="20" t="s">
        <v>50</v>
      </c>
      <c r="F107" s="22"/>
      <c r="G107" s="4" t="s">
        <v>235</v>
      </c>
      <c r="H107" s="22"/>
      <c r="I107" s="22"/>
      <c r="J107" s="22"/>
      <c r="K107" s="22"/>
      <c r="L107" s="22"/>
      <c r="M107" s="4" t="s">
        <v>690</v>
      </c>
      <c r="N107" s="22"/>
      <c r="O107" s="22"/>
      <c r="P107" s="22"/>
      <c r="Q107" s="22"/>
      <c r="R107" s="22"/>
    </row>
    <row r="108" ht="15.75" customHeight="1" spans="1:18" x14ac:dyDescent="0.25">
      <c r="A108" s="22"/>
      <c r="B108" s="23"/>
      <c r="C108" s="22"/>
      <c r="D108" s="22"/>
      <c r="E108" s="20" t="s">
        <v>50</v>
      </c>
      <c r="F108" s="22"/>
      <c r="G108" s="4" t="s">
        <v>235</v>
      </c>
      <c r="H108" s="22"/>
      <c r="I108" s="22"/>
      <c r="J108" s="22"/>
      <c r="K108" s="22"/>
      <c r="L108" s="22"/>
      <c r="M108" s="4" t="s">
        <v>690</v>
      </c>
      <c r="N108" s="22"/>
      <c r="O108" s="22"/>
      <c r="P108" s="22"/>
      <c r="Q108" s="22"/>
      <c r="R108" s="22"/>
    </row>
    <row r="109" ht="15.75" customHeight="1" spans="1:18" x14ac:dyDescent="0.25">
      <c r="A109" s="22"/>
      <c r="B109" s="23"/>
      <c r="C109" s="22"/>
      <c r="D109" s="22"/>
      <c r="E109" s="20" t="s">
        <v>50</v>
      </c>
      <c r="F109" s="22"/>
      <c r="G109" s="4" t="s">
        <v>235</v>
      </c>
      <c r="H109" s="22"/>
      <c r="I109" s="22"/>
      <c r="J109" s="22"/>
      <c r="K109" s="22"/>
      <c r="L109" s="22"/>
      <c r="M109" s="4" t="s">
        <v>690</v>
      </c>
      <c r="N109" s="22"/>
      <c r="O109" s="22"/>
      <c r="P109" s="22"/>
      <c r="Q109" s="22"/>
      <c r="R109" s="22"/>
    </row>
    <row r="110" ht="15.75" customHeight="1" spans="1:18" x14ac:dyDescent="0.25">
      <c r="A110" s="22"/>
      <c r="B110" s="23"/>
      <c r="C110" s="22"/>
      <c r="D110" s="22"/>
      <c r="E110" s="20" t="s">
        <v>50</v>
      </c>
      <c r="F110" s="22"/>
      <c r="G110" s="4" t="s">
        <v>235</v>
      </c>
      <c r="H110" s="22"/>
      <c r="I110" s="22"/>
      <c r="J110" s="22"/>
      <c r="K110" s="22"/>
      <c r="L110" s="22"/>
      <c r="M110" s="4" t="s">
        <v>690</v>
      </c>
      <c r="N110" s="22"/>
      <c r="O110" s="22"/>
      <c r="P110" s="22"/>
      <c r="Q110" s="22"/>
      <c r="R110" s="22"/>
    </row>
    <row r="111" ht="15.75" customHeight="1" spans="1:18" x14ac:dyDescent="0.25">
      <c r="A111" s="22"/>
      <c r="B111" s="23"/>
      <c r="C111" s="22"/>
      <c r="D111" s="22"/>
      <c r="E111" s="20" t="s">
        <v>50</v>
      </c>
      <c r="F111" s="22"/>
      <c r="G111" s="4" t="s">
        <v>235</v>
      </c>
      <c r="H111" s="22"/>
      <c r="I111" s="22"/>
      <c r="J111" s="22"/>
      <c r="K111" s="22"/>
      <c r="L111" s="22"/>
      <c r="M111" s="4" t="s">
        <v>690</v>
      </c>
      <c r="N111" s="22"/>
      <c r="O111" s="22"/>
      <c r="P111" s="22"/>
      <c r="Q111" s="22"/>
      <c r="R111" s="22"/>
    </row>
    <row r="112" ht="15.75" customHeight="1" spans="1:18" x14ac:dyDescent="0.25">
      <c r="A112" s="22"/>
      <c r="B112" s="23"/>
      <c r="C112" s="22"/>
      <c r="D112" s="22"/>
      <c r="E112" s="20" t="s">
        <v>50</v>
      </c>
      <c r="F112" s="22"/>
      <c r="G112" s="4" t="s">
        <v>235</v>
      </c>
      <c r="H112" s="22"/>
      <c r="I112" s="22"/>
      <c r="J112" s="22"/>
      <c r="K112" s="22"/>
      <c r="L112" s="22"/>
      <c r="M112" s="4" t="s">
        <v>690</v>
      </c>
      <c r="N112" s="22"/>
      <c r="O112" s="22"/>
      <c r="P112" s="22"/>
      <c r="Q112" s="22"/>
      <c r="R112" s="22"/>
    </row>
    <row r="113" ht="15.75" customHeight="1" spans="1:18" x14ac:dyDescent="0.25">
      <c r="A113" s="22"/>
      <c r="B113" s="23"/>
      <c r="C113" s="22"/>
      <c r="D113" s="22"/>
      <c r="E113" s="20" t="s">
        <v>50</v>
      </c>
      <c r="F113" s="22"/>
      <c r="G113" s="4" t="s">
        <v>235</v>
      </c>
      <c r="H113" s="22"/>
      <c r="I113" s="22"/>
      <c r="J113" s="22"/>
      <c r="K113" s="22"/>
      <c r="L113" s="22"/>
      <c r="M113" s="4" t="s">
        <v>690</v>
      </c>
      <c r="N113" s="22"/>
      <c r="O113" s="22"/>
      <c r="P113" s="22"/>
      <c r="Q113" s="22"/>
      <c r="R113" s="22"/>
    </row>
    <row r="114" ht="15.75" customHeight="1" spans="1:18" x14ac:dyDescent="0.25">
      <c r="A114" s="22"/>
      <c r="B114" s="23"/>
      <c r="C114" s="22"/>
      <c r="D114" s="22"/>
      <c r="E114" s="20" t="s">
        <v>50</v>
      </c>
      <c r="F114" s="22"/>
      <c r="G114" s="4" t="s">
        <v>235</v>
      </c>
      <c r="H114" s="22"/>
      <c r="I114" s="22"/>
      <c r="J114" s="22"/>
      <c r="K114" s="22"/>
      <c r="L114" s="22"/>
      <c r="M114" s="4" t="s">
        <v>690</v>
      </c>
      <c r="N114" s="22"/>
      <c r="O114" s="22"/>
      <c r="P114" s="22"/>
      <c r="Q114" s="22"/>
      <c r="R114" s="22"/>
    </row>
    <row r="115" ht="15.75" customHeight="1" spans="1:18" x14ac:dyDescent="0.25">
      <c r="A115" s="22"/>
      <c r="B115" s="23"/>
      <c r="C115" s="22"/>
      <c r="D115" s="22"/>
      <c r="E115" s="20" t="s">
        <v>50</v>
      </c>
      <c r="F115" s="22"/>
      <c r="G115" s="4" t="s">
        <v>235</v>
      </c>
      <c r="H115" s="22"/>
      <c r="I115" s="22"/>
      <c r="J115" s="22"/>
      <c r="K115" s="22"/>
      <c r="L115" s="22"/>
      <c r="M115" s="4" t="s">
        <v>690</v>
      </c>
      <c r="N115" s="22"/>
      <c r="O115" s="22"/>
      <c r="P115" s="22"/>
      <c r="Q115" s="22"/>
      <c r="R115" s="22"/>
    </row>
    <row r="116" ht="15.75" customHeight="1" spans="1:18" x14ac:dyDescent="0.25">
      <c r="A116" s="22"/>
      <c r="B116" s="23"/>
      <c r="C116" s="22"/>
      <c r="D116" s="22"/>
      <c r="E116" s="20" t="s">
        <v>50</v>
      </c>
      <c r="F116" s="22"/>
      <c r="G116" s="4" t="s">
        <v>235</v>
      </c>
      <c r="H116" s="22"/>
      <c r="I116" s="22"/>
      <c r="J116" s="22"/>
      <c r="K116" s="22"/>
      <c r="L116" s="22"/>
      <c r="M116" s="4" t="s">
        <v>690</v>
      </c>
      <c r="N116" s="22"/>
      <c r="O116" s="22"/>
      <c r="P116" s="22"/>
      <c r="Q116" s="22"/>
      <c r="R116" s="22"/>
    </row>
    <row r="117" ht="15.75" customHeight="1" spans="1:18" x14ac:dyDescent="0.25">
      <c r="A117" s="22"/>
      <c r="B117" s="23"/>
      <c r="C117" s="22"/>
      <c r="D117" s="22"/>
      <c r="E117" s="20" t="s">
        <v>50</v>
      </c>
      <c r="F117" s="22"/>
      <c r="G117" s="4" t="s">
        <v>235</v>
      </c>
      <c r="H117" s="22"/>
      <c r="I117" s="22"/>
      <c r="J117" s="22"/>
      <c r="K117" s="22"/>
      <c r="L117" s="22"/>
      <c r="M117" s="4" t="s">
        <v>690</v>
      </c>
      <c r="N117" s="22"/>
      <c r="O117" s="22"/>
      <c r="P117" s="22"/>
      <c r="Q117" s="22"/>
      <c r="R117" s="22"/>
    </row>
    <row r="118" ht="15.75" customHeight="1" spans="1:18" x14ac:dyDescent="0.25">
      <c r="A118" s="22"/>
      <c r="B118" s="23"/>
      <c r="C118" s="22"/>
      <c r="D118" s="22"/>
      <c r="E118" s="20" t="s">
        <v>50</v>
      </c>
      <c r="F118" s="22"/>
      <c r="G118" s="4" t="s">
        <v>235</v>
      </c>
      <c r="H118" s="22"/>
      <c r="I118" s="22"/>
      <c r="J118" s="22"/>
      <c r="K118" s="22"/>
      <c r="L118" s="22"/>
      <c r="M118" s="4" t="s">
        <v>690</v>
      </c>
      <c r="N118" s="22"/>
      <c r="O118" s="22"/>
      <c r="P118" s="22"/>
      <c r="Q118" s="22"/>
      <c r="R118" s="22"/>
    </row>
    <row r="119" ht="15.75" customHeight="1" spans="1:18" x14ac:dyDescent="0.25">
      <c r="A119" s="22"/>
      <c r="B119" s="23"/>
      <c r="C119" s="22"/>
      <c r="D119" s="22"/>
      <c r="E119" s="20" t="s">
        <v>50</v>
      </c>
      <c r="F119" s="22"/>
      <c r="G119" s="4" t="s">
        <v>235</v>
      </c>
      <c r="H119" s="22"/>
      <c r="I119" s="22"/>
      <c r="J119" s="22"/>
      <c r="K119" s="22"/>
      <c r="L119" s="22"/>
      <c r="M119" s="4" t="s">
        <v>690</v>
      </c>
      <c r="N119" s="22"/>
      <c r="O119" s="22"/>
      <c r="P119" s="22"/>
      <c r="Q119" s="22"/>
      <c r="R119" s="22"/>
    </row>
    <row r="120" ht="15.75" customHeight="1" spans="1:18" x14ac:dyDescent="0.25">
      <c r="A120" s="22"/>
      <c r="B120" s="23"/>
      <c r="C120" s="22"/>
      <c r="D120" s="22"/>
      <c r="E120" s="20" t="s">
        <v>50</v>
      </c>
      <c r="F120" s="22"/>
      <c r="G120" s="4" t="s">
        <v>235</v>
      </c>
      <c r="H120" s="22"/>
      <c r="I120" s="22"/>
      <c r="J120" s="22"/>
      <c r="K120" s="22"/>
      <c r="L120" s="22"/>
      <c r="M120" s="4" t="s">
        <v>690</v>
      </c>
      <c r="N120" s="22"/>
      <c r="O120" s="22"/>
      <c r="P120" s="22"/>
      <c r="Q120" s="22"/>
      <c r="R120" s="22"/>
    </row>
    <row r="121" ht="15.75" customHeight="1" spans="1:18" x14ac:dyDescent="0.25">
      <c r="A121" s="22"/>
      <c r="B121" s="23"/>
      <c r="C121" s="22"/>
      <c r="D121" s="22"/>
      <c r="E121" s="20" t="s">
        <v>50</v>
      </c>
      <c r="F121" s="22"/>
      <c r="G121" s="4" t="s">
        <v>235</v>
      </c>
      <c r="H121" s="22"/>
      <c r="I121" s="22"/>
      <c r="J121" s="22"/>
      <c r="K121" s="22"/>
      <c r="L121" s="22"/>
      <c r="M121" s="4" t="s">
        <v>690</v>
      </c>
      <c r="N121" s="22"/>
      <c r="O121" s="22"/>
      <c r="P121" s="22"/>
      <c r="Q121" s="22"/>
      <c r="R121" s="22"/>
    </row>
    <row r="122" ht="15.75" customHeight="1" spans="1:18" x14ac:dyDescent="0.25">
      <c r="A122" s="22"/>
      <c r="B122" s="23"/>
      <c r="C122" s="22"/>
      <c r="D122" s="22"/>
      <c r="E122" s="20" t="s">
        <v>50</v>
      </c>
      <c r="F122" s="22"/>
      <c r="G122" s="4" t="s">
        <v>235</v>
      </c>
      <c r="H122" s="22"/>
      <c r="I122" s="22"/>
      <c r="J122" s="22"/>
      <c r="K122" s="22"/>
      <c r="L122" s="22"/>
      <c r="M122" s="4" t="s">
        <v>690</v>
      </c>
      <c r="N122" s="22"/>
      <c r="O122" s="22"/>
      <c r="P122" s="22"/>
      <c r="Q122" s="22"/>
      <c r="R122" s="22"/>
    </row>
    <row r="123" ht="15.75" customHeight="1" spans="1:18" x14ac:dyDescent="0.25">
      <c r="A123" s="22"/>
      <c r="B123" s="23"/>
      <c r="C123" s="22"/>
      <c r="D123" s="22"/>
      <c r="E123" s="20" t="s">
        <v>50</v>
      </c>
      <c r="F123" s="22"/>
      <c r="G123" s="4" t="s">
        <v>235</v>
      </c>
      <c r="H123" s="22"/>
      <c r="I123" s="22"/>
      <c r="J123" s="22"/>
      <c r="K123" s="22"/>
      <c r="L123" s="22"/>
      <c r="M123" s="4" t="s">
        <v>690</v>
      </c>
      <c r="N123" s="22"/>
      <c r="O123" s="22"/>
      <c r="P123" s="22"/>
      <c r="Q123" s="22"/>
      <c r="R123" s="22"/>
    </row>
    <row r="124" ht="15.75" customHeight="1" spans="1:18" x14ac:dyDescent="0.25">
      <c r="A124" s="22"/>
      <c r="B124" s="23"/>
      <c r="C124" s="22"/>
      <c r="D124" s="22"/>
      <c r="E124" s="20" t="s">
        <v>50</v>
      </c>
      <c r="F124" s="22"/>
      <c r="G124" s="4" t="s">
        <v>235</v>
      </c>
      <c r="H124" s="22"/>
      <c r="I124" s="22"/>
      <c r="J124" s="22"/>
      <c r="K124" s="22"/>
      <c r="L124" s="22"/>
      <c r="M124" s="4" t="s">
        <v>690</v>
      </c>
      <c r="N124" s="22"/>
      <c r="O124" s="22"/>
      <c r="P124" s="22"/>
      <c r="Q124" s="22"/>
      <c r="R124" s="22"/>
    </row>
    <row r="125" ht="15.75" customHeight="1" spans="1:18" x14ac:dyDescent="0.25">
      <c r="A125" s="22"/>
      <c r="B125" s="23"/>
      <c r="C125" s="22"/>
      <c r="D125" s="22"/>
      <c r="E125" s="20" t="s">
        <v>50</v>
      </c>
      <c r="F125" s="22"/>
      <c r="G125" s="4" t="s">
        <v>235</v>
      </c>
      <c r="H125" s="22"/>
      <c r="I125" s="22"/>
      <c r="J125" s="22"/>
      <c r="K125" s="22"/>
      <c r="L125" s="22"/>
      <c r="M125" s="4" t="s">
        <v>690</v>
      </c>
      <c r="N125" s="22"/>
      <c r="O125" s="22"/>
      <c r="P125" s="22"/>
      <c r="Q125" s="22"/>
      <c r="R125" s="22"/>
    </row>
    <row r="126" ht="15.75" customHeight="1" spans="1:18" x14ac:dyDescent="0.25">
      <c r="A126" s="22"/>
      <c r="B126" s="23"/>
      <c r="C126" s="22"/>
      <c r="D126" s="22"/>
      <c r="E126" s="20" t="s">
        <v>50</v>
      </c>
      <c r="F126" s="22"/>
      <c r="G126" s="4" t="s">
        <v>235</v>
      </c>
      <c r="H126" s="22"/>
      <c r="I126" s="22"/>
      <c r="J126" s="22"/>
      <c r="K126" s="22"/>
      <c r="L126" s="22"/>
      <c r="M126" s="4" t="s">
        <v>690</v>
      </c>
      <c r="N126" s="22"/>
      <c r="O126" s="22"/>
      <c r="P126" s="22"/>
      <c r="Q126" s="22"/>
      <c r="R126" s="22"/>
    </row>
    <row r="127" ht="15.75" customHeight="1" spans="1:18" x14ac:dyDescent="0.25">
      <c r="A127" s="22"/>
      <c r="B127" s="23"/>
      <c r="C127" s="22"/>
      <c r="D127" s="22"/>
      <c r="E127" s="20" t="s">
        <v>50</v>
      </c>
      <c r="F127" s="22"/>
      <c r="G127" s="4" t="s">
        <v>235</v>
      </c>
      <c r="H127" s="22"/>
      <c r="I127" s="22"/>
      <c r="J127" s="22"/>
      <c r="K127" s="22"/>
      <c r="L127" s="22"/>
      <c r="M127" s="4" t="s">
        <v>690</v>
      </c>
      <c r="N127" s="22"/>
      <c r="O127" s="22"/>
      <c r="P127" s="22"/>
      <c r="Q127" s="22"/>
      <c r="R127" s="22"/>
    </row>
    <row r="128" ht="15.75" customHeight="1" spans="1:18" x14ac:dyDescent="0.25">
      <c r="A128" s="22"/>
      <c r="B128" s="23"/>
      <c r="C128" s="22"/>
      <c r="D128" s="22"/>
      <c r="E128" s="20" t="s">
        <v>50</v>
      </c>
      <c r="F128" s="22"/>
      <c r="G128" s="4" t="s">
        <v>235</v>
      </c>
      <c r="H128" s="22"/>
      <c r="I128" s="22"/>
      <c r="J128" s="22"/>
      <c r="K128" s="22"/>
      <c r="L128" s="22"/>
      <c r="M128" s="4" t="s">
        <v>690</v>
      </c>
      <c r="N128" s="22"/>
      <c r="O128" s="22"/>
      <c r="P128" s="22"/>
      <c r="Q128" s="22"/>
      <c r="R128" s="22"/>
    </row>
    <row r="129" ht="15.75" customHeight="1" spans="1:18" x14ac:dyDescent="0.25">
      <c r="A129" s="22"/>
      <c r="B129" s="23"/>
      <c r="C129" s="22"/>
      <c r="D129" s="22"/>
      <c r="E129" s="20" t="s">
        <v>50</v>
      </c>
      <c r="F129" s="22"/>
      <c r="G129" s="4" t="s">
        <v>235</v>
      </c>
      <c r="H129" s="22"/>
      <c r="I129" s="22"/>
      <c r="J129" s="22"/>
      <c r="K129" s="22"/>
      <c r="L129" s="22"/>
      <c r="M129" s="4" t="s">
        <v>690</v>
      </c>
      <c r="N129" s="22"/>
      <c r="O129" s="22"/>
      <c r="P129" s="22"/>
      <c r="Q129" s="22"/>
      <c r="R129" s="22"/>
    </row>
    <row r="130" ht="15.75" customHeight="1" spans="1:18" x14ac:dyDescent="0.25">
      <c r="A130" s="22"/>
      <c r="B130" s="23"/>
      <c r="C130" s="22"/>
      <c r="D130" s="22"/>
      <c r="E130" s="20" t="s">
        <v>50</v>
      </c>
      <c r="F130" s="22"/>
      <c r="G130" s="4" t="s">
        <v>235</v>
      </c>
      <c r="H130" s="22"/>
      <c r="I130" s="22"/>
      <c r="J130" s="22"/>
      <c r="K130" s="22"/>
      <c r="L130" s="22"/>
      <c r="M130" s="4" t="s">
        <v>690</v>
      </c>
      <c r="N130" s="22"/>
      <c r="O130" s="22"/>
      <c r="P130" s="22"/>
      <c r="Q130" s="22"/>
      <c r="R130" s="22"/>
    </row>
    <row r="131" ht="15.75" customHeight="1" spans="1:18" x14ac:dyDescent="0.25">
      <c r="A131" s="22"/>
      <c r="B131" s="23"/>
      <c r="C131" s="22"/>
      <c r="D131" s="22"/>
      <c r="E131" s="20" t="s">
        <v>50</v>
      </c>
      <c r="F131" s="22"/>
      <c r="G131" s="4" t="s">
        <v>235</v>
      </c>
      <c r="H131" s="22"/>
      <c r="I131" s="22"/>
      <c r="J131" s="22"/>
      <c r="K131" s="22"/>
      <c r="L131" s="22"/>
      <c r="M131" s="4" t="s">
        <v>690</v>
      </c>
      <c r="N131" s="22"/>
      <c r="O131" s="22"/>
      <c r="P131" s="22"/>
      <c r="Q131" s="22"/>
      <c r="R131" s="22"/>
    </row>
    <row r="132" ht="15.75" customHeight="1" spans="1:18" x14ac:dyDescent="0.25">
      <c r="A132" s="22"/>
      <c r="B132" s="23"/>
      <c r="C132" s="22"/>
      <c r="D132" s="22"/>
      <c r="E132" s="20" t="s">
        <v>50</v>
      </c>
      <c r="F132" s="22"/>
      <c r="G132" s="4" t="s">
        <v>235</v>
      </c>
      <c r="H132" s="22"/>
      <c r="I132" s="22"/>
      <c r="J132" s="22"/>
      <c r="K132" s="22"/>
      <c r="L132" s="22"/>
      <c r="M132" s="4" t="s">
        <v>690</v>
      </c>
      <c r="N132" s="22"/>
      <c r="O132" s="22"/>
      <c r="P132" s="22"/>
      <c r="Q132" s="22"/>
      <c r="R132" s="22"/>
    </row>
    <row r="133" ht="15.75" customHeight="1" spans="1:18" x14ac:dyDescent="0.25">
      <c r="A133" s="22"/>
      <c r="B133" s="23"/>
      <c r="C133" s="22"/>
      <c r="D133" s="22"/>
      <c r="E133" s="20" t="s">
        <v>50</v>
      </c>
      <c r="F133" s="22"/>
      <c r="G133" s="4" t="s">
        <v>235</v>
      </c>
      <c r="H133" s="22"/>
      <c r="I133" s="22"/>
      <c r="J133" s="22"/>
      <c r="K133" s="22"/>
      <c r="L133" s="22"/>
      <c r="M133" s="4" t="s">
        <v>690</v>
      </c>
      <c r="N133" s="22"/>
      <c r="O133" s="22"/>
      <c r="P133" s="22"/>
      <c r="Q133" s="22"/>
      <c r="R133" s="22"/>
    </row>
    <row r="134" ht="15.75" customHeight="1" spans="1:18" x14ac:dyDescent="0.25">
      <c r="A134" s="22"/>
      <c r="B134" s="23"/>
      <c r="C134" s="22"/>
      <c r="D134" s="22"/>
      <c r="E134" s="20" t="s">
        <v>50</v>
      </c>
      <c r="F134" s="22"/>
      <c r="G134" s="4" t="s">
        <v>235</v>
      </c>
      <c r="H134" s="22"/>
      <c r="I134" s="22"/>
      <c r="J134" s="22"/>
      <c r="K134" s="22"/>
      <c r="L134" s="22"/>
      <c r="M134" s="4" t="s">
        <v>690</v>
      </c>
      <c r="N134" s="22"/>
      <c r="O134" s="22"/>
      <c r="P134" s="22"/>
      <c r="Q134" s="22"/>
      <c r="R134" s="22"/>
    </row>
    <row r="135" ht="15.75" customHeight="1" spans="1:18" x14ac:dyDescent="0.25">
      <c r="A135" s="22"/>
      <c r="B135" s="23"/>
      <c r="C135" s="22"/>
      <c r="D135" s="22"/>
      <c r="E135" s="20" t="s">
        <v>50</v>
      </c>
      <c r="F135" s="22"/>
      <c r="G135" s="4" t="s">
        <v>235</v>
      </c>
      <c r="H135" s="22"/>
      <c r="I135" s="22"/>
      <c r="J135" s="22"/>
      <c r="K135" s="22"/>
      <c r="L135" s="22"/>
      <c r="M135" s="4" t="s">
        <v>690</v>
      </c>
      <c r="N135" s="22"/>
      <c r="O135" s="22"/>
      <c r="P135" s="22"/>
      <c r="Q135" s="22"/>
      <c r="R135" s="22"/>
    </row>
    <row r="136" ht="15.75" customHeight="1" spans="1:18" x14ac:dyDescent="0.25">
      <c r="A136" s="22"/>
      <c r="B136" s="23"/>
      <c r="C136" s="22"/>
      <c r="D136" s="22"/>
      <c r="E136" s="20" t="s">
        <v>50</v>
      </c>
      <c r="F136" s="22"/>
      <c r="G136" s="4" t="s">
        <v>235</v>
      </c>
      <c r="H136" s="22"/>
      <c r="I136" s="22"/>
      <c r="J136" s="22"/>
      <c r="K136" s="22"/>
      <c r="L136" s="22"/>
      <c r="M136" s="4" t="s">
        <v>690</v>
      </c>
      <c r="N136" s="22"/>
      <c r="O136" s="22"/>
      <c r="P136" s="22"/>
      <c r="Q136" s="22"/>
      <c r="R136" s="22"/>
    </row>
    <row r="137" ht="15.75" customHeight="1" spans="1:18" x14ac:dyDescent="0.25">
      <c r="A137" s="22"/>
      <c r="B137" s="23"/>
      <c r="C137" s="22"/>
      <c r="D137" s="22"/>
      <c r="E137" s="20" t="s">
        <v>50</v>
      </c>
      <c r="F137" s="22"/>
      <c r="G137" s="4" t="s">
        <v>235</v>
      </c>
      <c r="H137" s="22"/>
      <c r="I137" s="22"/>
      <c r="J137" s="22"/>
      <c r="K137" s="22"/>
      <c r="L137" s="22"/>
      <c r="M137" s="4" t="s">
        <v>690</v>
      </c>
      <c r="N137" s="22"/>
      <c r="O137" s="22"/>
      <c r="P137" s="22"/>
      <c r="Q137" s="22"/>
      <c r="R137" s="22"/>
    </row>
    <row r="138" ht="15.75" customHeight="1" spans="1:18" x14ac:dyDescent="0.25">
      <c r="A138" s="22"/>
      <c r="B138" s="23"/>
      <c r="C138" s="22"/>
      <c r="D138" s="22"/>
      <c r="E138" s="20" t="s">
        <v>50</v>
      </c>
      <c r="F138" s="22"/>
      <c r="G138" s="4" t="s">
        <v>235</v>
      </c>
      <c r="H138" s="22"/>
      <c r="I138" s="22"/>
      <c r="J138" s="22"/>
      <c r="K138" s="22"/>
      <c r="L138" s="22"/>
      <c r="M138" s="4" t="s">
        <v>690</v>
      </c>
      <c r="N138" s="22"/>
      <c r="O138" s="22"/>
      <c r="P138" s="22"/>
      <c r="Q138" s="22"/>
      <c r="R138" s="22"/>
    </row>
    <row r="139" ht="15.75" customHeight="1" spans="1:18" x14ac:dyDescent="0.25">
      <c r="A139" s="22"/>
      <c r="B139" s="23"/>
      <c r="C139" s="22"/>
      <c r="D139" s="22"/>
      <c r="E139" s="20" t="s">
        <v>50</v>
      </c>
      <c r="F139" s="22"/>
      <c r="G139" s="4" t="s">
        <v>235</v>
      </c>
      <c r="H139" s="22"/>
      <c r="I139" s="22"/>
      <c r="J139" s="22"/>
      <c r="K139" s="22"/>
      <c r="L139" s="22"/>
      <c r="M139" s="4" t="s">
        <v>690</v>
      </c>
      <c r="N139" s="22"/>
      <c r="O139" s="22"/>
      <c r="P139" s="22"/>
      <c r="Q139" s="22"/>
      <c r="R139" s="22"/>
    </row>
    <row r="140" ht="15.75" customHeight="1" spans="1:18" x14ac:dyDescent="0.25">
      <c r="A140" s="22"/>
      <c r="B140" s="23"/>
      <c r="C140" s="22"/>
      <c r="D140" s="22"/>
      <c r="E140" s="20" t="s">
        <v>50</v>
      </c>
      <c r="F140" s="22"/>
      <c r="G140" s="4" t="s">
        <v>235</v>
      </c>
      <c r="H140" s="22"/>
      <c r="I140" s="22"/>
      <c r="J140" s="22"/>
      <c r="K140" s="22"/>
      <c r="L140" s="22"/>
      <c r="M140" s="4" t="s">
        <v>690</v>
      </c>
      <c r="N140" s="22"/>
      <c r="O140" s="22"/>
      <c r="P140" s="22"/>
      <c r="Q140" s="22"/>
      <c r="R140" s="22"/>
    </row>
    <row r="141" ht="15.75" customHeight="1" spans="1:18" x14ac:dyDescent="0.25">
      <c r="A141" s="22"/>
      <c r="B141" s="23"/>
      <c r="C141" s="22"/>
      <c r="D141" s="22"/>
      <c r="E141" s="20" t="s">
        <v>50</v>
      </c>
      <c r="F141" s="22"/>
      <c r="G141" s="4" t="s">
        <v>235</v>
      </c>
      <c r="H141" s="22"/>
      <c r="I141" s="22"/>
      <c r="J141" s="22"/>
      <c r="K141" s="22"/>
      <c r="L141" s="22"/>
      <c r="M141" s="4" t="s">
        <v>690</v>
      </c>
      <c r="N141" s="22"/>
      <c r="O141" s="22"/>
      <c r="P141" s="22"/>
      <c r="Q141" s="22"/>
      <c r="R141" s="22"/>
    </row>
    <row r="142" ht="15.75" customHeight="1" spans="1:18" x14ac:dyDescent="0.25">
      <c r="A142" s="22"/>
      <c r="B142" s="23"/>
      <c r="C142" s="22"/>
      <c r="D142" s="22"/>
      <c r="E142" s="20" t="s">
        <v>50</v>
      </c>
      <c r="F142" s="22"/>
      <c r="G142" s="4" t="s">
        <v>235</v>
      </c>
      <c r="H142" s="22"/>
      <c r="I142" s="22"/>
      <c r="J142" s="22"/>
      <c r="K142" s="22"/>
      <c r="L142" s="22"/>
      <c r="M142" s="4" t="s">
        <v>690</v>
      </c>
      <c r="N142" s="22"/>
      <c r="O142" s="22"/>
      <c r="P142" s="22"/>
      <c r="Q142" s="22"/>
      <c r="R142" s="22"/>
    </row>
    <row r="143" ht="15.75" customHeight="1" spans="1:18" x14ac:dyDescent="0.25">
      <c r="A143" s="22"/>
      <c r="B143" s="23"/>
      <c r="C143" s="22"/>
      <c r="D143" s="22"/>
      <c r="E143" s="20" t="s">
        <v>50</v>
      </c>
      <c r="F143" s="22"/>
      <c r="G143" s="4" t="s">
        <v>235</v>
      </c>
      <c r="H143" s="22"/>
      <c r="I143" s="22"/>
      <c r="J143" s="22"/>
      <c r="K143" s="22"/>
      <c r="L143" s="22"/>
      <c r="M143" s="4" t="s">
        <v>690</v>
      </c>
      <c r="N143" s="22"/>
      <c r="O143" s="22"/>
      <c r="P143" s="22"/>
      <c r="Q143" s="22"/>
      <c r="R143" s="22"/>
    </row>
    <row r="144" ht="15.75" customHeight="1" spans="1:18" x14ac:dyDescent="0.25">
      <c r="A144" s="22"/>
      <c r="B144" s="23"/>
      <c r="C144" s="22"/>
      <c r="D144" s="22"/>
      <c r="E144" s="20" t="s">
        <v>50</v>
      </c>
      <c r="F144" s="22"/>
      <c r="G144" s="4" t="s">
        <v>235</v>
      </c>
      <c r="H144" s="22"/>
      <c r="I144" s="22"/>
      <c r="J144" s="22"/>
      <c r="K144" s="22"/>
      <c r="L144" s="22"/>
      <c r="M144" s="4" t="s">
        <v>690</v>
      </c>
      <c r="N144" s="22"/>
      <c r="O144" s="22"/>
      <c r="P144" s="22"/>
      <c r="Q144" s="22"/>
      <c r="R144" s="22"/>
    </row>
    <row r="145" ht="15.75" customHeight="1" spans="1:18" x14ac:dyDescent="0.25">
      <c r="A145" s="22"/>
      <c r="B145" s="23"/>
      <c r="C145" s="22"/>
      <c r="D145" s="22"/>
      <c r="E145" s="20" t="s">
        <v>50</v>
      </c>
      <c r="F145" s="22"/>
      <c r="G145" s="4" t="s">
        <v>235</v>
      </c>
      <c r="H145" s="22"/>
      <c r="I145" s="22"/>
      <c r="J145" s="22"/>
      <c r="K145" s="22"/>
      <c r="L145" s="22"/>
      <c r="M145" s="4" t="s">
        <v>690</v>
      </c>
      <c r="N145" s="22"/>
      <c r="O145" s="22"/>
      <c r="P145" s="22"/>
      <c r="Q145" s="22"/>
      <c r="R145" s="22"/>
    </row>
    <row r="146" ht="15.75" customHeight="1" spans="1:18" x14ac:dyDescent="0.25">
      <c r="A146" s="22"/>
      <c r="B146" s="23"/>
      <c r="C146" s="22"/>
      <c r="D146" s="22"/>
      <c r="E146" s="20" t="s">
        <v>50</v>
      </c>
      <c r="F146" s="22"/>
      <c r="G146" s="4" t="s">
        <v>235</v>
      </c>
      <c r="H146" s="22"/>
      <c r="I146" s="22"/>
      <c r="J146" s="22"/>
      <c r="K146" s="22"/>
      <c r="L146" s="22"/>
      <c r="M146" s="4" t="s">
        <v>690</v>
      </c>
      <c r="N146" s="22"/>
      <c r="O146" s="22"/>
      <c r="P146" s="22"/>
      <c r="Q146" s="22"/>
      <c r="R146" s="22"/>
    </row>
    <row r="147" ht="15.75" customHeight="1" spans="1:18" x14ac:dyDescent="0.25">
      <c r="A147" s="22"/>
      <c r="B147" s="23"/>
      <c r="C147" s="22"/>
      <c r="D147" s="22"/>
      <c r="E147" s="20" t="s">
        <v>50</v>
      </c>
      <c r="F147" s="22"/>
      <c r="G147" s="4" t="s">
        <v>235</v>
      </c>
      <c r="H147" s="22"/>
      <c r="I147" s="22"/>
      <c r="J147" s="22"/>
      <c r="K147" s="22"/>
      <c r="L147" s="22"/>
      <c r="M147" s="4" t="s">
        <v>690</v>
      </c>
      <c r="N147" s="22"/>
      <c r="O147" s="22"/>
      <c r="P147" s="22"/>
      <c r="Q147" s="22"/>
      <c r="R147" s="22"/>
    </row>
    <row r="148" ht="15.75" customHeight="1" spans="1:18" x14ac:dyDescent="0.25">
      <c r="A148" s="22"/>
      <c r="B148" s="23"/>
      <c r="C148" s="22"/>
      <c r="D148" s="22"/>
      <c r="E148" s="20" t="s">
        <v>50</v>
      </c>
      <c r="F148" s="22"/>
      <c r="G148" s="4" t="s">
        <v>235</v>
      </c>
      <c r="H148" s="22"/>
      <c r="I148" s="22"/>
      <c r="J148" s="22"/>
      <c r="K148" s="22"/>
      <c r="L148" s="22"/>
      <c r="M148" s="4" t="s">
        <v>690</v>
      </c>
      <c r="N148" s="22"/>
      <c r="O148" s="22"/>
      <c r="P148" s="22"/>
      <c r="Q148" s="22"/>
      <c r="R148" s="22"/>
    </row>
    <row r="149" ht="15.75" customHeight="1" spans="1:18" x14ac:dyDescent="0.25">
      <c r="A149" s="22"/>
      <c r="B149" s="23"/>
      <c r="C149" s="22"/>
      <c r="D149" s="22"/>
      <c r="E149" s="20" t="s">
        <v>50</v>
      </c>
      <c r="F149" s="22"/>
      <c r="G149" s="4" t="s">
        <v>235</v>
      </c>
      <c r="H149" s="22"/>
      <c r="I149" s="22"/>
      <c r="J149" s="22"/>
      <c r="K149" s="22"/>
      <c r="L149" s="22"/>
      <c r="M149" s="4" t="s">
        <v>690</v>
      </c>
      <c r="N149" s="22"/>
      <c r="O149" s="22"/>
      <c r="P149" s="22"/>
      <c r="Q149" s="22"/>
      <c r="R149" s="22"/>
    </row>
    <row r="150" ht="15.75" customHeight="1" spans="1:18" x14ac:dyDescent="0.25">
      <c r="A150" s="22"/>
      <c r="B150" s="23"/>
      <c r="C150" s="22"/>
      <c r="D150" s="22"/>
      <c r="E150" s="20" t="s">
        <v>50</v>
      </c>
      <c r="F150" s="22"/>
      <c r="G150" s="4" t="s">
        <v>235</v>
      </c>
      <c r="H150" s="22"/>
      <c r="I150" s="22"/>
      <c r="J150" s="22"/>
      <c r="K150" s="22"/>
      <c r="L150" s="22"/>
      <c r="M150" s="4" t="s">
        <v>690</v>
      </c>
      <c r="N150" s="22"/>
      <c r="O150" s="22"/>
      <c r="P150" s="22"/>
      <c r="Q150" s="22"/>
      <c r="R150" s="22"/>
    </row>
    <row r="151" ht="15.75" customHeight="1" spans="1:18" x14ac:dyDescent="0.25">
      <c r="A151" s="22"/>
      <c r="B151" s="23"/>
      <c r="C151" s="22"/>
      <c r="D151" s="22"/>
      <c r="E151" s="20" t="s">
        <v>50</v>
      </c>
      <c r="F151" s="22"/>
      <c r="G151" s="4" t="s">
        <v>235</v>
      </c>
      <c r="H151" s="22"/>
      <c r="I151" s="22"/>
      <c r="J151" s="22"/>
      <c r="K151" s="22"/>
      <c r="L151" s="22"/>
      <c r="M151" s="4" t="s">
        <v>690</v>
      </c>
      <c r="N151" s="22"/>
      <c r="O151" s="22"/>
      <c r="P151" s="22"/>
      <c r="Q151" s="22"/>
      <c r="R151" s="22"/>
    </row>
    <row r="152" ht="15.75" customHeight="1" spans="1:18" x14ac:dyDescent="0.25">
      <c r="A152" s="22"/>
      <c r="B152" s="23"/>
      <c r="C152" s="22"/>
      <c r="D152" s="22"/>
      <c r="E152" s="20" t="s">
        <v>50</v>
      </c>
      <c r="F152" s="22"/>
      <c r="G152" s="4" t="s">
        <v>235</v>
      </c>
      <c r="H152" s="22"/>
      <c r="I152" s="22"/>
      <c r="J152" s="22"/>
      <c r="K152" s="22"/>
      <c r="L152" s="22"/>
      <c r="M152" s="4" t="s">
        <v>690</v>
      </c>
      <c r="N152" s="22"/>
      <c r="O152" s="22"/>
      <c r="P152" s="22"/>
      <c r="Q152" s="22"/>
      <c r="R152" s="22"/>
    </row>
    <row r="153" ht="15.75" customHeight="1" spans="1:18" x14ac:dyDescent="0.25">
      <c r="A153" s="22"/>
      <c r="B153" s="23"/>
      <c r="C153" s="22"/>
      <c r="D153" s="22"/>
      <c r="E153" s="20" t="s">
        <v>50</v>
      </c>
      <c r="F153" s="22"/>
      <c r="G153" s="4" t="s">
        <v>235</v>
      </c>
      <c r="H153" s="22"/>
      <c r="I153" s="22"/>
      <c r="J153" s="22"/>
      <c r="K153" s="22"/>
      <c r="L153" s="22"/>
      <c r="M153" s="4" t="s">
        <v>690</v>
      </c>
      <c r="N153" s="22"/>
      <c r="O153" s="22"/>
      <c r="P153" s="22"/>
      <c r="Q153" s="22"/>
      <c r="R153" s="22"/>
    </row>
    <row r="154" ht="15.75" customHeight="1" spans="1:18" x14ac:dyDescent="0.25">
      <c r="A154" s="22"/>
      <c r="B154" s="23"/>
      <c r="C154" s="22"/>
      <c r="D154" s="22"/>
      <c r="E154" s="20" t="s">
        <v>50</v>
      </c>
      <c r="F154" s="22"/>
      <c r="G154" s="4" t="s">
        <v>235</v>
      </c>
      <c r="H154" s="22"/>
      <c r="I154" s="22"/>
      <c r="J154" s="22"/>
      <c r="K154" s="22"/>
      <c r="L154" s="22"/>
      <c r="M154" s="4" t="s">
        <v>690</v>
      </c>
      <c r="N154" s="22"/>
      <c r="O154" s="22"/>
      <c r="P154" s="22"/>
      <c r="Q154" s="22"/>
      <c r="R154" s="22"/>
    </row>
    <row r="155" ht="15.75" customHeight="1" spans="1:18" x14ac:dyDescent="0.25">
      <c r="A155" s="22"/>
      <c r="B155" s="23"/>
      <c r="C155" s="22"/>
      <c r="D155" s="22"/>
      <c r="E155" s="20" t="s">
        <v>50</v>
      </c>
      <c r="F155" s="22"/>
      <c r="G155" s="4" t="s">
        <v>235</v>
      </c>
      <c r="H155" s="22"/>
      <c r="I155" s="22"/>
      <c r="J155" s="22"/>
      <c r="K155" s="22"/>
      <c r="L155" s="22"/>
      <c r="M155" s="4" t="s">
        <v>690</v>
      </c>
      <c r="N155" s="22"/>
      <c r="O155" s="22"/>
      <c r="P155" s="22"/>
      <c r="Q155" s="22"/>
      <c r="R155" s="22"/>
    </row>
    <row r="156" ht="15.75" customHeight="1" spans="1:18" x14ac:dyDescent="0.25">
      <c r="A156" s="22"/>
      <c r="B156" s="23"/>
      <c r="C156" s="22"/>
      <c r="D156" s="22"/>
      <c r="E156" s="20" t="s">
        <v>50</v>
      </c>
      <c r="F156" s="22"/>
      <c r="G156" s="4" t="s">
        <v>235</v>
      </c>
      <c r="H156" s="22"/>
      <c r="I156" s="22"/>
      <c r="J156" s="22"/>
      <c r="K156" s="22"/>
      <c r="L156" s="22"/>
      <c r="M156" s="4" t="s">
        <v>690</v>
      </c>
      <c r="N156" s="22"/>
      <c r="O156" s="22"/>
      <c r="P156" s="22"/>
      <c r="Q156" s="22"/>
      <c r="R156" s="22"/>
    </row>
    <row r="157" ht="15.75" customHeight="1" spans="1:18" x14ac:dyDescent="0.25">
      <c r="A157" s="22"/>
      <c r="B157" s="23"/>
      <c r="C157" s="22"/>
      <c r="D157" s="22"/>
      <c r="E157" s="20" t="s">
        <v>50</v>
      </c>
      <c r="F157" s="22"/>
      <c r="G157" s="4" t="s">
        <v>235</v>
      </c>
      <c r="H157" s="22"/>
      <c r="I157" s="22"/>
      <c r="J157" s="22"/>
      <c r="K157" s="22"/>
      <c r="L157" s="22"/>
      <c r="M157" s="4" t="s">
        <v>690</v>
      </c>
      <c r="N157" s="22"/>
      <c r="O157" s="22"/>
      <c r="P157" s="22"/>
      <c r="Q157" s="22"/>
      <c r="R157" s="22"/>
    </row>
    <row r="158" ht="15.75" customHeight="1" spans="1:18" x14ac:dyDescent="0.25">
      <c r="A158" s="22"/>
      <c r="B158" s="23"/>
      <c r="C158" s="22"/>
      <c r="D158" s="22"/>
      <c r="E158" s="20" t="s">
        <v>50</v>
      </c>
      <c r="F158" s="22"/>
      <c r="G158" s="4" t="s">
        <v>235</v>
      </c>
      <c r="H158" s="22"/>
      <c r="I158" s="22"/>
      <c r="J158" s="22"/>
      <c r="K158" s="22"/>
      <c r="L158" s="22"/>
      <c r="M158" s="4" t="s">
        <v>690</v>
      </c>
      <c r="N158" s="22"/>
      <c r="O158" s="22"/>
      <c r="P158" s="22"/>
      <c r="Q158" s="22"/>
      <c r="R158" s="22"/>
    </row>
    <row r="159" ht="15.75" customHeight="1" spans="1:18" x14ac:dyDescent="0.25">
      <c r="A159" s="22"/>
      <c r="B159" s="23"/>
      <c r="C159" s="22"/>
      <c r="D159" s="22"/>
      <c r="E159" s="20" t="s">
        <v>50</v>
      </c>
      <c r="F159" s="22"/>
      <c r="G159" s="4" t="s">
        <v>235</v>
      </c>
      <c r="H159" s="22"/>
      <c r="I159" s="22"/>
      <c r="J159" s="22"/>
      <c r="K159" s="22"/>
      <c r="L159" s="22"/>
      <c r="M159" s="4" t="s">
        <v>690</v>
      </c>
      <c r="N159" s="22"/>
      <c r="O159" s="22"/>
      <c r="P159" s="22"/>
      <c r="Q159" s="22"/>
      <c r="R159" s="22"/>
    </row>
    <row r="160" ht="15.75" customHeight="1" spans="1:18" x14ac:dyDescent="0.25">
      <c r="A160" s="22"/>
      <c r="B160" s="23"/>
      <c r="C160" s="22"/>
      <c r="D160" s="22"/>
      <c r="E160" s="20" t="s">
        <v>50</v>
      </c>
      <c r="F160" s="22"/>
      <c r="G160" s="4" t="s">
        <v>235</v>
      </c>
      <c r="H160" s="22"/>
      <c r="I160" s="22"/>
      <c r="J160" s="22"/>
      <c r="K160" s="22"/>
      <c r="L160" s="22"/>
      <c r="M160" s="4" t="s">
        <v>690</v>
      </c>
      <c r="N160" s="22"/>
      <c r="O160" s="22"/>
      <c r="P160" s="22"/>
      <c r="Q160" s="22"/>
      <c r="R160" s="22"/>
    </row>
    <row r="161" ht="15.75" customHeight="1" spans="1:18" x14ac:dyDescent="0.25">
      <c r="A161" s="22"/>
      <c r="B161" s="23"/>
      <c r="C161" s="22"/>
      <c r="D161" s="22"/>
      <c r="E161" s="20" t="s">
        <v>50</v>
      </c>
      <c r="F161" s="22"/>
      <c r="G161" s="4" t="s">
        <v>235</v>
      </c>
      <c r="H161" s="22"/>
      <c r="I161" s="22"/>
      <c r="J161" s="22"/>
      <c r="K161" s="22"/>
      <c r="L161" s="22"/>
      <c r="M161" s="4" t="s">
        <v>690</v>
      </c>
      <c r="N161" s="22"/>
      <c r="O161" s="22"/>
      <c r="P161" s="22"/>
      <c r="Q161" s="22"/>
      <c r="R161" s="22"/>
    </row>
    <row r="162" ht="15.75" customHeight="1" spans="1:18" x14ac:dyDescent="0.25">
      <c r="A162" s="22"/>
      <c r="B162" s="23"/>
      <c r="C162" s="22"/>
      <c r="D162" s="22"/>
      <c r="E162" s="20" t="s">
        <v>50</v>
      </c>
      <c r="F162" s="22"/>
      <c r="G162" s="4" t="s">
        <v>235</v>
      </c>
      <c r="H162" s="22"/>
      <c r="I162" s="22"/>
      <c r="J162" s="22"/>
      <c r="K162" s="22"/>
      <c r="L162" s="22"/>
      <c r="M162" s="4" t="s">
        <v>690</v>
      </c>
      <c r="N162" s="22"/>
      <c r="O162" s="22"/>
      <c r="P162" s="22"/>
      <c r="Q162" s="22"/>
      <c r="R162" s="22"/>
    </row>
    <row r="163" ht="15.75" customHeight="1" spans="1:18" x14ac:dyDescent="0.25">
      <c r="A163" s="22"/>
      <c r="B163" s="23"/>
      <c r="C163" s="22"/>
      <c r="D163" s="22"/>
      <c r="E163" s="20" t="s">
        <v>50</v>
      </c>
      <c r="F163" s="22"/>
      <c r="G163" s="4" t="s">
        <v>235</v>
      </c>
      <c r="H163" s="22"/>
      <c r="I163" s="22"/>
      <c r="J163" s="22"/>
      <c r="K163" s="22"/>
      <c r="L163" s="22"/>
      <c r="M163" s="4" t="s">
        <v>690</v>
      </c>
      <c r="N163" s="22"/>
      <c r="O163" s="22"/>
      <c r="P163" s="22"/>
      <c r="Q163" s="22"/>
      <c r="R163" s="22"/>
    </row>
    <row r="164" ht="15.75" customHeight="1" spans="1:18" x14ac:dyDescent="0.25">
      <c r="A164" s="22"/>
      <c r="B164" s="23"/>
      <c r="C164" s="22"/>
      <c r="D164" s="22"/>
      <c r="E164" s="20" t="s">
        <v>50</v>
      </c>
      <c r="F164" s="22"/>
      <c r="G164" s="4" t="s">
        <v>235</v>
      </c>
      <c r="H164" s="22"/>
      <c r="I164" s="22"/>
      <c r="J164" s="22"/>
      <c r="K164" s="22"/>
      <c r="L164" s="22"/>
      <c r="M164" s="4" t="s">
        <v>690</v>
      </c>
      <c r="N164" s="22"/>
      <c r="O164" s="22"/>
      <c r="P164" s="22"/>
      <c r="Q164" s="22"/>
      <c r="R164" s="22"/>
    </row>
    <row r="165" ht="15.75" customHeight="1" spans="1:18" x14ac:dyDescent="0.25">
      <c r="A165" s="22"/>
      <c r="B165" s="23"/>
      <c r="C165" s="22"/>
      <c r="D165" s="22"/>
      <c r="E165" s="20" t="s">
        <v>50</v>
      </c>
      <c r="F165" s="22"/>
      <c r="G165" s="4" t="s">
        <v>235</v>
      </c>
      <c r="H165" s="22"/>
      <c r="I165" s="22"/>
      <c r="J165" s="22"/>
      <c r="K165" s="22"/>
      <c r="L165" s="22"/>
      <c r="M165" s="4" t="s">
        <v>690</v>
      </c>
      <c r="N165" s="22"/>
      <c r="O165" s="22"/>
      <c r="P165" s="22"/>
      <c r="Q165" s="22"/>
      <c r="R165" s="22"/>
    </row>
    <row r="166" ht="15.75" customHeight="1" spans="1:18" x14ac:dyDescent="0.25">
      <c r="A166" s="22"/>
      <c r="B166" s="23"/>
      <c r="C166" s="22"/>
      <c r="D166" s="22"/>
      <c r="E166" s="20" t="s">
        <v>50</v>
      </c>
      <c r="F166" s="22"/>
      <c r="G166" s="4" t="s">
        <v>235</v>
      </c>
      <c r="H166" s="22"/>
      <c r="I166" s="22"/>
      <c r="J166" s="22"/>
      <c r="K166" s="22"/>
      <c r="L166" s="22"/>
      <c r="M166" s="4" t="s">
        <v>690</v>
      </c>
      <c r="N166" s="22"/>
      <c r="O166" s="22"/>
      <c r="P166" s="22"/>
      <c r="Q166" s="22"/>
      <c r="R166" s="22"/>
    </row>
    <row r="167" ht="15.75" customHeight="1" spans="1:18" x14ac:dyDescent="0.25">
      <c r="A167" s="22"/>
      <c r="B167" s="23"/>
      <c r="C167" s="22"/>
      <c r="D167" s="22"/>
      <c r="E167" s="20" t="s">
        <v>50</v>
      </c>
      <c r="F167" s="22"/>
      <c r="G167" s="4" t="s">
        <v>235</v>
      </c>
      <c r="H167" s="22"/>
      <c r="I167" s="22"/>
      <c r="J167" s="22"/>
      <c r="K167" s="22"/>
      <c r="L167" s="22"/>
      <c r="M167" s="4" t="s">
        <v>690</v>
      </c>
      <c r="N167" s="22"/>
      <c r="O167" s="22"/>
      <c r="P167" s="22"/>
      <c r="Q167" s="22"/>
      <c r="R167" s="22"/>
    </row>
    <row r="168" ht="15.75" customHeight="1" spans="1:18" x14ac:dyDescent="0.25">
      <c r="A168" s="22"/>
      <c r="B168" s="23"/>
      <c r="C168" s="22"/>
      <c r="D168" s="22"/>
      <c r="E168" s="20" t="s">
        <v>50</v>
      </c>
      <c r="F168" s="22"/>
      <c r="G168" s="4" t="s">
        <v>235</v>
      </c>
      <c r="H168" s="22"/>
      <c r="I168" s="22"/>
      <c r="J168" s="22"/>
      <c r="K168" s="22"/>
      <c r="L168" s="22"/>
      <c r="M168" s="4" t="s">
        <v>690</v>
      </c>
      <c r="N168" s="22"/>
      <c r="O168" s="22"/>
      <c r="P168" s="22"/>
      <c r="Q168" s="22"/>
      <c r="R168" s="22"/>
    </row>
    <row r="169" ht="15.75" customHeight="1" spans="1:18" x14ac:dyDescent="0.25">
      <c r="A169" s="22"/>
      <c r="B169" s="23"/>
      <c r="C169" s="22"/>
      <c r="D169" s="22"/>
      <c r="E169" s="20" t="s">
        <v>50</v>
      </c>
      <c r="F169" s="22"/>
      <c r="G169" s="4" t="s">
        <v>235</v>
      </c>
      <c r="H169" s="22"/>
      <c r="I169" s="22"/>
      <c r="J169" s="22"/>
      <c r="K169" s="22"/>
      <c r="L169" s="22"/>
      <c r="M169" s="4" t="s">
        <v>690</v>
      </c>
      <c r="N169" s="22"/>
      <c r="O169" s="22"/>
      <c r="P169" s="22"/>
      <c r="Q169" s="22"/>
      <c r="R169" s="22"/>
    </row>
    <row r="170" ht="15.75" customHeight="1" spans="1:18" x14ac:dyDescent="0.25">
      <c r="A170" s="22"/>
      <c r="B170" s="23"/>
      <c r="C170" s="22"/>
      <c r="D170" s="22"/>
      <c r="E170" s="20" t="s">
        <v>50</v>
      </c>
      <c r="F170" s="22"/>
      <c r="G170" s="4" t="s">
        <v>235</v>
      </c>
      <c r="H170" s="22"/>
      <c r="I170" s="22"/>
      <c r="J170" s="22"/>
      <c r="K170" s="22"/>
      <c r="L170" s="22"/>
      <c r="M170" s="4" t="s">
        <v>690</v>
      </c>
      <c r="N170" s="22"/>
      <c r="O170" s="22"/>
      <c r="P170" s="22"/>
      <c r="Q170" s="22"/>
      <c r="R170" s="22"/>
    </row>
    <row r="171" ht="15.75" customHeight="1" spans="1:18" x14ac:dyDescent="0.25">
      <c r="A171" s="22"/>
      <c r="B171" s="23"/>
      <c r="C171" s="22"/>
      <c r="D171" s="22"/>
      <c r="E171" s="20" t="s">
        <v>50</v>
      </c>
      <c r="F171" s="22"/>
      <c r="G171" s="4" t="s">
        <v>235</v>
      </c>
      <c r="H171" s="22"/>
      <c r="I171" s="22"/>
      <c r="J171" s="22"/>
      <c r="K171" s="22"/>
      <c r="L171" s="22"/>
      <c r="M171" s="4" t="s">
        <v>690</v>
      </c>
      <c r="N171" s="22"/>
      <c r="O171" s="22"/>
      <c r="P171" s="22"/>
      <c r="Q171" s="22"/>
      <c r="R171" s="22"/>
    </row>
    <row r="172" ht="15.75" customHeight="1" spans="1:18" x14ac:dyDescent="0.25">
      <c r="A172" s="22"/>
      <c r="B172" s="23"/>
      <c r="C172" s="22"/>
      <c r="D172" s="22"/>
      <c r="E172" s="20" t="s">
        <v>50</v>
      </c>
      <c r="F172" s="22"/>
      <c r="G172" s="4" t="s">
        <v>235</v>
      </c>
      <c r="H172" s="22"/>
      <c r="I172" s="22"/>
      <c r="J172" s="22"/>
      <c r="K172" s="22"/>
      <c r="L172" s="22"/>
      <c r="M172" s="4" t="s">
        <v>690</v>
      </c>
      <c r="N172" s="22"/>
      <c r="O172" s="22"/>
      <c r="P172" s="22"/>
      <c r="Q172" s="22"/>
      <c r="R172" s="22"/>
    </row>
    <row r="173" ht="15.75" customHeight="1" spans="1:18" x14ac:dyDescent="0.25">
      <c r="A173" s="22"/>
      <c r="B173" s="23"/>
      <c r="C173" s="22"/>
      <c r="D173" s="22"/>
      <c r="E173" s="20" t="s">
        <v>50</v>
      </c>
      <c r="F173" s="22"/>
      <c r="G173" s="4" t="s">
        <v>235</v>
      </c>
      <c r="H173" s="22"/>
      <c r="I173" s="22"/>
      <c r="J173" s="22"/>
      <c r="K173" s="22"/>
      <c r="L173" s="22"/>
      <c r="M173" s="4" t="s">
        <v>690</v>
      </c>
      <c r="N173" s="22"/>
      <c r="O173" s="22"/>
      <c r="P173" s="22"/>
      <c r="Q173" s="22"/>
      <c r="R173" s="22"/>
    </row>
    <row r="174" ht="15.75" customHeight="1" spans="1:18" x14ac:dyDescent="0.25">
      <c r="A174" s="22"/>
      <c r="B174" s="23"/>
      <c r="C174" s="22"/>
      <c r="D174" s="22"/>
      <c r="E174" s="20" t="s">
        <v>50</v>
      </c>
      <c r="F174" s="22"/>
      <c r="G174" s="4" t="s">
        <v>235</v>
      </c>
      <c r="H174" s="22"/>
      <c r="I174" s="22"/>
      <c r="J174" s="22"/>
      <c r="K174" s="22"/>
      <c r="L174" s="22"/>
      <c r="M174" s="4" t="s">
        <v>690</v>
      </c>
      <c r="N174" s="22"/>
      <c r="O174" s="22"/>
      <c r="P174" s="22"/>
      <c r="Q174" s="22"/>
      <c r="R174" s="22"/>
    </row>
    <row r="175" ht="15.75" customHeight="1" spans="1:18" x14ac:dyDescent="0.25">
      <c r="A175" s="22"/>
      <c r="B175" s="23"/>
      <c r="C175" s="22"/>
      <c r="D175" s="22"/>
      <c r="E175" s="20" t="s">
        <v>50</v>
      </c>
      <c r="F175" s="22"/>
      <c r="G175" s="4" t="s">
        <v>235</v>
      </c>
      <c r="H175" s="22"/>
      <c r="I175" s="22"/>
      <c r="J175" s="22"/>
      <c r="K175" s="22"/>
      <c r="L175" s="22"/>
      <c r="M175" s="4" t="s">
        <v>690</v>
      </c>
      <c r="N175" s="22"/>
      <c r="O175" s="22"/>
      <c r="P175" s="22"/>
      <c r="Q175" s="22"/>
      <c r="R175" s="22"/>
    </row>
    <row r="176" ht="15.75" customHeight="1" spans="1:18" x14ac:dyDescent="0.25">
      <c r="A176" s="22"/>
      <c r="B176" s="23"/>
      <c r="C176" s="22"/>
      <c r="D176" s="22"/>
      <c r="E176" s="20" t="s">
        <v>50</v>
      </c>
      <c r="F176" s="22"/>
      <c r="G176" s="4" t="s">
        <v>235</v>
      </c>
      <c r="H176" s="22"/>
      <c r="I176" s="22"/>
      <c r="J176" s="22"/>
      <c r="K176" s="22"/>
      <c r="L176" s="22"/>
      <c r="M176" s="4" t="s">
        <v>690</v>
      </c>
      <c r="N176" s="22"/>
      <c r="O176" s="22"/>
      <c r="P176" s="22"/>
      <c r="Q176" s="22"/>
      <c r="R176" s="22"/>
    </row>
    <row r="177" ht="15.75" customHeight="1" spans="1:18" x14ac:dyDescent="0.25">
      <c r="A177" s="22"/>
      <c r="B177" s="23"/>
      <c r="C177" s="22"/>
      <c r="D177" s="22"/>
      <c r="E177" s="20" t="s">
        <v>50</v>
      </c>
      <c r="F177" s="22"/>
      <c r="G177" s="4" t="s">
        <v>235</v>
      </c>
      <c r="H177" s="22"/>
      <c r="I177" s="22"/>
      <c r="J177" s="22"/>
      <c r="K177" s="22"/>
      <c r="L177" s="22"/>
      <c r="M177" s="4" t="s">
        <v>690</v>
      </c>
      <c r="N177" s="22"/>
      <c r="O177" s="22"/>
      <c r="P177" s="22"/>
      <c r="Q177" s="22"/>
      <c r="R177" s="22"/>
    </row>
    <row r="178" ht="15.75" customHeight="1" spans="1:18" x14ac:dyDescent="0.25">
      <c r="A178" s="22"/>
      <c r="B178" s="23"/>
      <c r="C178" s="22"/>
      <c r="D178" s="22"/>
      <c r="E178" s="20" t="s">
        <v>50</v>
      </c>
      <c r="F178" s="22"/>
      <c r="G178" s="4" t="s">
        <v>235</v>
      </c>
      <c r="H178" s="22"/>
      <c r="I178" s="22"/>
      <c r="J178" s="22"/>
      <c r="K178" s="22"/>
      <c r="L178" s="22"/>
      <c r="M178" s="4" t="s">
        <v>690</v>
      </c>
      <c r="N178" s="22"/>
      <c r="O178" s="22"/>
      <c r="P178" s="22"/>
      <c r="Q178" s="22"/>
      <c r="R178" s="22"/>
    </row>
    <row r="179" ht="15.75" customHeight="1" spans="1:18" x14ac:dyDescent="0.25">
      <c r="A179" s="22"/>
      <c r="B179" s="23"/>
      <c r="C179" s="22"/>
      <c r="D179" s="22"/>
      <c r="E179" s="20" t="s">
        <v>50</v>
      </c>
      <c r="F179" s="22"/>
      <c r="G179" s="4" t="s">
        <v>235</v>
      </c>
      <c r="H179" s="22"/>
      <c r="I179" s="22"/>
      <c r="J179" s="22"/>
      <c r="K179" s="22"/>
      <c r="L179" s="22"/>
      <c r="M179" s="4" t="s">
        <v>690</v>
      </c>
      <c r="N179" s="22"/>
      <c r="O179" s="22"/>
      <c r="P179" s="22"/>
      <c r="Q179" s="22"/>
      <c r="R179" s="22"/>
    </row>
    <row r="180" ht="15.75" customHeight="1" spans="1:18" x14ac:dyDescent="0.25">
      <c r="A180" s="22"/>
      <c r="B180" s="23"/>
      <c r="C180" s="22"/>
      <c r="D180" s="22"/>
      <c r="E180" s="20" t="s">
        <v>50</v>
      </c>
      <c r="F180" s="22"/>
      <c r="G180" s="4" t="s">
        <v>235</v>
      </c>
      <c r="H180" s="22"/>
      <c r="I180" s="22"/>
      <c r="J180" s="22"/>
      <c r="K180" s="22"/>
      <c r="L180" s="22"/>
      <c r="M180" s="4" t="s">
        <v>690</v>
      </c>
      <c r="N180" s="22"/>
      <c r="O180" s="22"/>
      <c r="P180" s="22"/>
      <c r="Q180" s="22"/>
      <c r="R180" s="22"/>
    </row>
    <row r="181" ht="15.75" customHeight="1" spans="1:18" x14ac:dyDescent="0.25">
      <c r="A181" s="22"/>
      <c r="B181" s="23"/>
      <c r="C181" s="22"/>
      <c r="D181" s="22"/>
      <c r="E181" s="20" t="s">
        <v>50</v>
      </c>
      <c r="F181" s="22"/>
      <c r="G181" s="4" t="s">
        <v>235</v>
      </c>
      <c r="H181" s="22"/>
      <c r="I181" s="22"/>
      <c r="J181" s="22"/>
      <c r="K181" s="22"/>
      <c r="L181" s="22"/>
      <c r="M181" s="4" t="s">
        <v>690</v>
      </c>
      <c r="N181" s="22"/>
      <c r="O181" s="22"/>
      <c r="P181" s="22"/>
      <c r="Q181" s="22"/>
      <c r="R181" s="22"/>
    </row>
    <row r="182" ht="15.75" customHeight="1" spans="1:18" x14ac:dyDescent="0.25">
      <c r="A182" s="22"/>
      <c r="B182" s="23"/>
      <c r="C182" s="22"/>
      <c r="D182" s="22"/>
      <c r="E182" s="20" t="s">
        <v>50</v>
      </c>
      <c r="F182" s="22"/>
      <c r="G182" s="4" t="s">
        <v>235</v>
      </c>
      <c r="H182" s="22"/>
      <c r="I182" s="22"/>
      <c r="J182" s="22"/>
      <c r="K182" s="22"/>
      <c r="L182" s="22"/>
      <c r="M182" s="4" t="s">
        <v>690</v>
      </c>
      <c r="N182" s="22"/>
      <c r="O182" s="22"/>
      <c r="P182" s="22"/>
      <c r="Q182" s="22"/>
      <c r="R182" s="22"/>
    </row>
    <row r="183" ht="15.75" customHeight="1" spans="1:18" x14ac:dyDescent="0.25">
      <c r="A183" s="22"/>
      <c r="B183" s="23"/>
      <c r="C183" s="22"/>
      <c r="D183" s="22"/>
      <c r="E183" s="20" t="s">
        <v>50</v>
      </c>
      <c r="F183" s="22"/>
      <c r="G183" s="4" t="s">
        <v>235</v>
      </c>
      <c r="H183" s="22"/>
      <c r="I183" s="22"/>
      <c r="J183" s="22"/>
      <c r="K183" s="22"/>
      <c r="L183" s="22"/>
      <c r="M183" s="4" t="s">
        <v>690</v>
      </c>
      <c r="N183" s="22"/>
      <c r="O183" s="22"/>
      <c r="P183" s="22"/>
      <c r="Q183" s="22"/>
      <c r="R183" s="22"/>
    </row>
    <row r="184" ht="15.75" customHeight="1" spans="1:18" x14ac:dyDescent="0.25">
      <c r="A184" s="22"/>
      <c r="B184" s="23"/>
      <c r="C184" s="22"/>
      <c r="D184" s="22"/>
      <c r="E184" s="20" t="s">
        <v>50</v>
      </c>
      <c r="F184" s="22"/>
      <c r="G184" s="4" t="s">
        <v>235</v>
      </c>
      <c r="H184" s="22"/>
      <c r="I184" s="22"/>
      <c r="J184" s="22"/>
      <c r="K184" s="22"/>
      <c r="L184" s="22"/>
      <c r="M184" s="4" t="s">
        <v>690</v>
      </c>
      <c r="N184" s="22"/>
      <c r="O184" s="22"/>
      <c r="P184" s="22"/>
      <c r="Q184" s="22"/>
      <c r="R184" s="22"/>
    </row>
    <row r="185" ht="15.75" customHeight="1" spans="1:18" x14ac:dyDescent="0.25">
      <c r="A185" s="22"/>
      <c r="B185" s="23"/>
      <c r="C185" s="22"/>
      <c r="D185" s="22"/>
      <c r="E185" s="20" t="s">
        <v>50</v>
      </c>
      <c r="F185" s="22"/>
      <c r="G185" s="4" t="s">
        <v>235</v>
      </c>
      <c r="H185" s="22"/>
      <c r="I185" s="22"/>
      <c r="J185" s="22"/>
      <c r="K185" s="22"/>
      <c r="L185" s="22"/>
      <c r="M185" s="4" t="s">
        <v>690</v>
      </c>
      <c r="N185" s="22"/>
      <c r="O185" s="22"/>
      <c r="P185" s="22"/>
      <c r="Q185" s="22"/>
      <c r="R185" s="22"/>
    </row>
    <row r="186" ht="15.75" customHeight="1" spans="1:18" x14ac:dyDescent="0.25">
      <c r="A186" s="22"/>
      <c r="B186" s="23"/>
      <c r="C186" s="22"/>
      <c r="D186" s="22"/>
      <c r="E186" s="20" t="s">
        <v>50</v>
      </c>
      <c r="F186" s="22"/>
      <c r="G186" s="4" t="s">
        <v>235</v>
      </c>
      <c r="H186" s="22"/>
      <c r="I186" s="22"/>
      <c r="J186" s="22"/>
      <c r="K186" s="22"/>
      <c r="L186" s="22"/>
      <c r="M186" s="4" t="s">
        <v>690</v>
      </c>
      <c r="N186" s="22"/>
      <c r="O186" s="22"/>
      <c r="P186" s="22"/>
      <c r="Q186" s="22"/>
      <c r="R186" s="22"/>
    </row>
    <row r="187" ht="15.75" customHeight="1" spans="1:18" x14ac:dyDescent="0.25">
      <c r="A187" s="22"/>
      <c r="B187" s="23"/>
      <c r="C187" s="22"/>
      <c r="D187" s="22"/>
      <c r="E187" s="20" t="s">
        <v>50</v>
      </c>
      <c r="F187" s="22"/>
      <c r="G187" s="4" t="s">
        <v>235</v>
      </c>
      <c r="H187" s="22"/>
      <c r="I187" s="22"/>
      <c r="J187" s="22"/>
      <c r="K187" s="22"/>
      <c r="L187" s="22"/>
      <c r="M187" s="4" t="s">
        <v>690</v>
      </c>
      <c r="N187" s="22"/>
      <c r="O187" s="22"/>
      <c r="P187" s="22"/>
      <c r="Q187" s="22"/>
      <c r="R187" s="22"/>
    </row>
    <row r="188" ht="15.75" customHeight="1" spans="1:18" x14ac:dyDescent="0.25">
      <c r="A188" s="22"/>
      <c r="B188" s="23"/>
      <c r="C188" s="22"/>
      <c r="D188" s="22"/>
      <c r="E188" s="20" t="s">
        <v>50</v>
      </c>
      <c r="F188" s="22"/>
      <c r="G188" s="4" t="s">
        <v>235</v>
      </c>
      <c r="H188" s="22"/>
      <c r="I188" s="22"/>
      <c r="J188" s="22"/>
      <c r="K188" s="22"/>
      <c r="L188" s="22"/>
      <c r="M188" s="4" t="s">
        <v>690</v>
      </c>
      <c r="N188" s="22"/>
      <c r="O188" s="22"/>
      <c r="P188" s="22"/>
      <c r="Q188" s="22"/>
      <c r="R188" s="22"/>
    </row>
    <row r="189" ht="15.75" customHeight="1" spans="1:18" x14ac:dyDescent="0.25">
      <c r="A189" s="22"/>
      <c r="B189" s="23"/>
      <c r="C189" s="22"/>
      <c r="D189" s="22"/>
      <c r="E189" s="20" t="s">
        <v>50</v>
      </c>
      <c r="F189" s="22"/>
      <c r="G189" s="4" t="s">
        <v>235</v>
      </c>
      <c r="H189" s="22"/>
      <c r="I189" s="22"/>
      <c r="J189" s="22"/>
      <c r="K189" s="22"/>
      <c r="L189" s="22"/>
      <c r="M189" s="4" t="s">
        <v>690</v>
      </c>
      <c r="N189" s="22"/>
      <c r="O189" s="22"/>
      <c r="P189" s="22"/>
      <c r="Q189" s="22"/>
      <c r="R189" s="22"/>
    </row>
    <row r="190" ht="15.75" customHeight="1" spans="1:18" x14ac:dyDescent="0.25">
      <c r="A190" s="22"/>
      <c r="B190" s="23"/>
      <c r="C190" s="22"/>
      <c r="D190" s="22"/>
      <c r="E190" s="20" t="s">
        <v>50</v>
      </c>
      <c r="F190" s="22"/>
      <c r="G190" s="4" t="s">
        <v>235</v>
      </c>
      <c r="H190" s="22"/>
      <c r="I190" s="22"/>
      <c r="J190" s="22"/>
      <c r="K190" s="22"/>
      <c r="L190" s="22"/>
      <c r="M190" s="4" t="s">
        <v>690</v>
      </c>
      <c r="N190" s="22"/>
      <c r="O190" s="22"/>
      <c r="P190" s="22"/>
      <c r="Q190" s="22"/>
      <c r="R190" s="22"/>
    </row>
    <row r="191" ht="15.75" customHeight="1" spans="1:18" x14ac:dyDescent="0.25">
      <c r="A191" s="22"/>
      <c r="B191" s="23"/>
      <c r="C191" s="22"/>
      <c r="D191" s="22"/>
      <c r="E191" s="20" t="s">
        <v>50</v>
      </c>
      <c r="F191" s="22"/>
      <c r="G191" s="4" t="s">
        <v>235</v>
      </c>
      <c r="H191" s="22"/>
      <c r="I191" s="22"/>
      <c r="J191" s="22"/>
      <c r="K191" s="22"/>
      <c r="L191" s="22"/>
      <c r="M191" s="4" t="s">
        <v>690</v>
      </c>
      <c r="N191" s="22"/>
      <c r="O191" s="22"/>
      <c r="P191" s="22"/>
      <c r="Q191" s="22"/>
      <c r="R191" s="22"/>
    </row>
    <row r="192" ht="15.75" customHeight="1" spans="1:18" x14ac:dyDescent="0.25">
      <c r="A192" s="22"/>
      <c r="B192" s="23"/>
      <c r="C192" s="22"/>
      <c r="D192" s="22"/>
      <c r="E192" s="20" t="s">
        <v>50</v>
      </c>
      <c r="F192" s="22"/>
      <c r="G192" s="4" t="s">
        <v>235</v>
      </c>
      <c r="H192" s="22"/>
      <c r="I192" s="22"/>
      <c r="J192" s="22"/>
      <c r="K192" s="22"/>
      <c r="L192" s="22"/>
      <c r="M192" s="4" t="s">
        <v>690</v>
      </c>
      <c r="N192" s="22"/>
      <c r="O192" s="22"/>
      <c r="P192" s="22"/>
      <c r="Q192" s="22"/>
      <c r="R192" s="22"/>
    </row>
    <row r="193" ht="15.75" customHeight="1" spans="1:18" x14ac:dyDescent="0.25">
      <c r="A193" s="22"/>
      <c r="B193" s="23"/>
      <c r="C193" s="22"/>
      <c r="D193" s="22"/>
      <c r="E193" s="20" t="s">
        <v>50</v>
      </c>
      <c r="F193" s="22"/>
      <c r="G193" s="4" t="s">
        <v>235</v>
      </c>
      <c r="H193" s="22"/>
      <c r="I193" s="22"/>
      <c r="J193" s="22"/>
      <c r="K193" s="22"/>
      <c r="L193" s="22"/>
      <c r="M193" s="4" t="s">
        <v>690</v>
      </c>
      <c r="N193" s="22"/>
      <c r="O193" s="22"/>
      <c r="P193" s="22"/>
      <c r="Q193" s="22"/>
      <c r="R193" s="22"/>
    </row>
    <row r="194" ht="15.75" customHeight="1" spans="1:18" x14ac:dyDescent="0.25">
      <c r="A194" s="22"/>
      <c r="B194" s="23"/>
      <c r="C194" s="22"/>
      <c r="D194" s="22"/>
      <c r="E194" s="20" t="s">
        <v>50</v>
      </c>
      <c r="F194" s="22"/>
      <c r="G194" s="4" t="s">
        <v>235</v>
      </c>
      <c r="H194" s="22"/>
      <c r="I194" s="22"/>
      <c r="J194" s="22"/>
      <c r="K194" s="22"/>
      <c r="L194" s="22"/>
      <c r="M194" s="4" t="s">
        <v>690</v>
      </c>
      <c r="N194" s="22"/>
      <c r="O194" s="22"/>
      <c r="P194" s="22"/>
      <c r="Q194" s="22"/>
      <c r="R194" s="22"/>
    </row>
    <row r="195" ht="15.75" customHeight="1" spans="1:18" x14ac:dyDescent="0.25">
      <c r="A195" s="22"/>
      <c r="B195" s="23"/>
      <c r="C195" s="22"/>
      <c r="D195" s="22"/>
      <c r="E195" s="20" t="s">
        <v>50</v>
      </c>
      <c r="F195" s="22"/>
      <c r="G195" s="4" t="s">
        <v>235</v>
      </c>
      <c r="H195" s="22"/>
      <c r="I195" s="22"/>
      <c r="J195" s="22"/>
      <c r="K195" s="22"/>
      <c r="L195" s="22"/>
      <c r="M195" s="4" t="s">
        <v>690</v>
      </c>
      <c r="N195" s="22"/>
      <c r="O195" s="22"/>
      <c r="P195" s="22"/>
      <c r="Q195" s="22"/>
      <c r="R195" s="22"/>
    </row>
    <row r="196" ht="15.75" customHeight="1" spans="1:18" x14ac:dyDescent="0.25">
      <c r="A196" s="22"/>
      <c r="B196" s="23"/>
      <c r="C196" s="22"/>
      <c r="D196" s="22"/>
      <c r="E196" s="20" t="s">
        <v>50</v>
      </c>
      <c r="F196" s="22"/>
      <c r="G196" s="4" t="s">
        <v>235</v>
      </c>
      <c r="H196" s="22"/>
      <c r="I196" s="22"/>
      <c r="J196" s="22"/>
      <c r="K196" s="22"/>
      <c r="L196" s="22"/>
      <c r="M196" s="4" t="s">
        <v>690</v>
      </c>
      <c r="N196" s="22"/>
      <c r="O196" s="22"/>
      <c r="P196" s="22"/>
      <c r="Q196" s="22"/>
      <c r="R196" s="22"/>
    </row>
    <row r="197" ht="15.75" customHeight="1" spans="1:18" x14ac:dyDescent="0.25">
      <c r="A197" s="22"/>
      <c r="B197" s="23"/>
      <c r="C197" s="22"/>
      <c r="D197" s="22"/>
      <c r="E197" s="20" t="s">
        <v>50</v>
      </c>
      <c r="F197" s="22"/>
      <c r="G197" s="4" t="s">
        <v>235</v>
      </c>
      <c r="H197" s="22"/>
      <c r="I197" s="22"/>
      <c r="J197" s="22"/>
      <c r="K197" s="22"/>
      <c r="L197" s="22"/>
      <c r="M197" s="4" t="s">
        <v>690</v>
      </c>
      <c r="N197" s="22"/>
      <c r="O197" s="22"/>
      <c r="P197" s="22"/>
      <c r="Q197" s="22"/>
      <c r="R197" s="22"/>
    </row>
    <row r="198" ht="15.75" customHeight="1" spans="1:18" x14ac:dyDescent="0.25">
      <c r="A198" s="22"/>
      <c r="B198" s="23"/>
      <c r="C198" s="22"/>
      <c r="D198" s="22"/>
      <c r="E198" s="20" t="s">
        <v>50</v>
      </c>
      <c r="F198" s="22"/>
      <c r="G198" s="4" t="s">
        <v>235</v>
      </c>
      <c r="H198" s="22"/>
      <c r="I198" s="22"/>
      <c r="J198" s="22"/>
      <c r="K198" s="22"/>
      <c r="L198" s="22"/>
      <c r="M198" s="4" t="s">
        <v>690</v>
      </c>
      <c r="N198" s="22"/>
      <c r="O198" s="22"/>
      <c r="P198" s="22"/>
      <c r="Q198" s="22"/>
      <c r="R198" s="22"/>
    </row>
    <row r="199" ht="15.75" customHeight="1" spans="1:18" x14ac:dyDescent="0.25">
      <c r="A199" s="22"/>
      <c r="B199" s="23"/>
      <c r="C199" s="22"/>
      <c r="D199" s="22"/>
      <c r="E199" s="20" t="s">
        <v>50</v>
      </c>
      <c r="F199" s="22"/>
      <c r="G199" s="4" t="s">
        <v>235</v>
      </c>
      <c r="H199" s="22"/>
      <c r="I199" s="22"/>
      <c r="J199" s="22"/>
      <c r="K199" s="22"/>
      <c r="L199" s="22"/>
      <c r="M199" s="4" t="s">
        <v>690</v>
      </c>
      <c r="N199" s="22"/>
      <c r="O199" s="22"/>
      <c r="P199" s="22"/>
      <c r="Q199" s="22"/>
      <c r="R199" s="22"/>
    </row>
    <row r="200" ht="15.75" customHeight="1" spans="1:18" x14ac:dyDescent="0.25">
      <c r="A200" s="22"/>
      <c r="B200" s="23"/>
      <c r="C200" s="22"/>
      <c r="D200" s="22"/>
      <c r="E200" s="20" t="s">
        <v>50</v>
      </c>
      <c r="F200" s="22"/>
      <c r="G200" s="4" t="s">
        <v>235</v>
      </c>
      <c r="H200" s="22"/>
      <c r="I200" s="22"/>
      <c r="J200" s="22"/>
      <c r="K200" s="22"/>
      <c r="L200" s="22"/>
      <c r="M200" s="4" t="s">
        <v>690</v>
      </c>
      <c r="N200" s="22"/>
      <c r="O200" s="22"/>
      <c r="P200" s="22"/>
      <c r="Q200" s="22"/>
      <c r="R200" s="22"/>
    </row>
    <row r="201" ht="15.75" customHeight="1" spans="1:18" x14ac:dyDescent="0.25">
      <c r="A201" s="22"/>
      <c r="B201" s="23"/>
      <c r="C201" s="22"/>
      <c r="D201" s="22"/>
      <c r="E201" s="20" t="s">
        <v>50</v>
      </c>
      <c r="F201" s="22"/>
      <c r="G201" s="4" t="s">
        <v>235</v>
      </c>
      <c r="H201" s="22"/>
      <c r="I201" s="22"/>
      <c r="J201" s="22"/>
      <c r="K201" s="22"/>
      <c r="L201" s="22"/>
      <c r="M201" s="4" t="s">
        <v>690</v>
      </c>
      <c r="N201" s="22"/>
      <c r="O201" s="22"/>
      <c r="P201" s="22"/>
      <c r="Q201" s="22"/>
      <c r="R201" s="22"/>
    </row>
    <row r="202" ht="15.75" customHeight="1" spans="1:18" x14ac:dyDescent="0.25">
      <c r="A202" s="22"/>
      <c r="B202" s="23"/>
      <c r="C202" s="22"/>
      <c r="D202" s="22"/>
      <c r="E202" s="20" t="s">
        <v>50</v>
      </c>
      <c r="F202" s="22"/>
      <c r="G202" s="4" t="s">
        <v>235</v>
      </c>
      <c r="H202" s="22"/>
      <c r="I202" s="22"/>
      <c r="J202" s="22"/>
      <c r="K202" s="22"/>
      <c r="L202" s="22"/>
      <c r="M202" s="4" t="s">
        <v>690</v>
      </c>
      <c r="N202" s="22"/>
      <c r="O202" s="22"/>
      <c r="P202" s="22"/>
      <c r="Q202" s="22"/>
      <c r="R202" s="22"/>
    </row>
    <row r="203" ht="15.75" customHeight="1" spans="1:18" x14ac:dyDescent="0.25">
      <c r="A203" s="22"/>
      <c r="B203" s="23"/>
      <c r="C203" s="22"/>
      <c r="D203" s="22"/>
      <c r="E203" s="20" t="s">
        <v>50</v>
      </c>
      <c r="F203" s="22"/>
      <c r="G203" s="4" t="s">
        <v>235</v>
      </c>
      <c r="H203" s="22"/>
      <c r="I203" s="22"/>
      <c r="J203" s="22"/>
      <c r="K203" s="22"/>
      <c r="L203" s="22"/>
      <c r="M203" s="4" t="s">
        <v>690</v>
      </c>
      <c r="N203" s="22"/>
      <c r="O203" s="22"/>
      <c r="P203" s="22"/>
      <c r="Q203" s="22"/>
      <c r="R203" s="22"/>
    </row>
    <row r="204" ht="15.75" customHeight="1" spans="1:18" x14ac:dyDescent="0.25">
      <c r="A204" s="22"/>
      <c r="B204" s="23"/>
      <c r="C204" s="22"/>
      <c r="D204" s="22"/>
      <c r="E204" s="20" t="s">
        <v>50</v>
      </c>
      <c r="F204" s="22"/>
      <c r="G204" s="4" t="s">
        <v>235</v>
      </c>
      <c r="H204" s="22"/>
      <c r="I204" s="22"/>
      <c r="J204" s="22"/>
      <c r="K204" s="22"/>
      <c r="L204" s="22"/>
      <c r="M204" s="4" t="s">
        <v>690</v>
      </c>
      <c r="N204" s="22"/>
      <c r="O204" s="22"/>
      <c r="P204" s="22"/>
      <c r="Q204" s="22"/>
      <c r="R204" s="22"/>
    </row>
    <row r="205" ht="15.75" customHeight="1" spans="1:18" x14ac:dyDescent="0.25">
      <c r="A205" s="22"/>
      <c r="B205" s="23"/>
      <c r="C205" s="22"/>
      <c r="D205" s="22"/>
      <c r="E205" s="20" t="s">
        <v>50</v>
      </c>
      <c r="F205" s="22"/>
      <c r="G205" s="4" t="s">
        <v>235</v>
      </c>
      <c r="H205" s="22"/>
      <c r="I205" s="22"/>
      <c r="J205" s="22"/>
      <c r="K205" s="22"/>
      <c r="L205" s="22"/>
      <c r="M205" s="4" t="s">
        <v>690</v>
      </c>
      <c r="N205" s="22"/>
      <c r="O205" s="22"/>
      <c r="P205" s="22"/>
      <c r="Q205" s="22"/>
      <c r="R205" s="22"/>
    </row>
    <row r="206" ht="15.75" customHeight="1" spans="1:18" x14ac:dyDescent="0.25">
      <c r="A206" s="22"/>
      <c r="B206" s="23"/>
      <c r="C206" s="22"/>
      <c r="D206" s="22"/>
      <c r="E206" s="20" t="s">
        <v>50</v>
      </c>
      <c r="F206" s="22"/>
      <c r="G206" s="4" t="s">
        <v>235</v>
      </c>
      <c r="H206" s="22"/>
      <c r="I206" s="22"/>
      <c r="J206" s="22"/>
      <c r="K206" s="22"/>
      <c r="L206" s="22"/>
      <c r="M206" s="4" t="s">
        <v>690</v>
      </c>
      <c r="N206" s="22"/>
      <c r="O206" s="22"/>
      <c r="P206" s="22"/>
      <c r="Q206" s="22"/>
      <c r="R206" s="22"/>
    </row>
    <row r="207" ht="15.75" customHeight="1" spans="1:18" x14ac:dyDescent="0.25">
      <c r="A207" s="22"/>
      <c r="B207" s="23"/>
      <c r="C207" s="22"/>
      <c r="D207" s="22"/>
      <c r="E207" s="20" t="s">
        <v>50</v>
      </c>
      <c r="F207" s="22"/>
      <c r="G207" s="4" t="s">
        <v>235</v>
      </c>
      <c r="H207" s="22"/>
      <c r="I207" s="22"/>
      <c r="J207" s="22"/>
      <c r="K207" s="22"/>
      <c r="L207" s="22"/>
      <c r="M207" s="4" t="s">
        <v>690</v>
      </c>
      <c r="N207" s="22"/>
      <c r="O207" s="22"/>
      <c r="P207" s="22"/>
      <c r="Q207" s="22"/>
      <c r="R207" s="22"/>
    </row>
    <row r="208" ht="15.75" customHeight="1" spans="1:18" x14ac:dyDescent="0.25">
      <c r="A208" s="22"/>
      <c r="B208" s="23"/>
      <c r="C208" s="22"/>
      <c r="D208" s="22"/>
      <c r="E208" s="20" t="s">
        <v>50</v>
      </c>
      <c r="F208" s="22"/>
      <c r="G208" s="4" t="s">
        <v>235</v>
      </c>
      <c r="H208" s="22"/>
      <c r="I208" s="22"/>
      <c r="J208" s="22"/>
      <c r="K208" s="22"/>
      <c r="L208" s="22"/>
      <c r="M208" s="4" t="s">
        <v>690</v>
      </c>
      <c r="N208" s="22"/>
      <c r="O208" s="22"/>
      <c r="P208" s="22"/>
      <c r="Q208" s="22"/>
      <c r="R208" s="22"/>
    </row>
    <row r="209" ht="15.75" customHeight="1" spans="1:18" x14ac:dyDescent="0.25">
      <c r="A209" s="22"/>
      <c r="B209" s="23"/>
      <c r="C209" s="22"/>
      <c r="D209" s="22"/>
      <c r="E209" s="20" t="s">
        <v>50</v>
      </c>
      <c r="F209" s="22"/>
      <c r="G209" s="4" t="s">
        <v>235</v>
      </c>
      <c r="H209" s="22"/>
      <c r="I209" s="22"/>
      <c r="J209" s="22"/>
      <c r="K209" s="22"/>
      <c r="L209" s="22"/>
      <c r="M209" s="4" t="s">
        <v>690</v>
      </c>
      <c r="N209" s="22"/>
      <c r="O209" s="22"/>
      <c r="P209" s="22"/>
      <c r="Q209" s="22"/>
      <c r="R209" s="22"/>
    </row>
    <row r="210" ht="15.75" customHeight="1" spans="1:18" x14ac:dyDescent="0.25">
      <c r="A210" s="22"/>
      <c r="B210" s="23"/>
      <c r="C210" s="22"/>
      <c r="D210" s="22"/>
      <c r="E210" s="20" t="s">
        <v>50</v>
      </c>
      <c r="F210" s="22"/>
      <c r="G210" s="4" t="s">
        <v>235</v>
      </c>
      <c r="H210" s="22"/>
      <c r="I210" s="22"/>
      <c r="J210" s="22"/>
      <c r="K210" s="22"/>
      <c r="L210" s="22"/>
      <c r="M210" s="4" t="s">
        <v>690</v>
      </c>
      <c r="N210" s="22"/>
      <c r="O210" s="22"/>
      <c r="P210" s="22"/>
      <c r="Q210" s="22"/>
      <c r="R210" s="22"/>
    </row>
    <row r="211" ht="15.75" customHeight="1" spans="1:18" x14ac:dyDescent="0.25">
      <c r="A211" s="22"/>
      <c r="B211" s="23"/>
      <c r="C211" s="22"/>
      <c r="D211" s="22"/>
      <c r="E211" s="20" t="s">
        <v>50</v>
      </c>
      <c r="F211" s="22"/>
      <c r="G211" s="4" t="s">
        <v>235</v>
      </c>
      <c r="H211" s="22"/>
      <c r="I211" s="22"/>
      <c r="J211" s="22"/>
      <c r="K211" s="22"/>
      <c r="L211" s="22"/>
      <c r="M211" s="4" t="s">
        <v>690</v>
      </c>
      <c r="N211" s="22"/>
      <c r="O211" s="22"/>
      <c r="P211" s="22"/>
      <c r="Q211" s="22"/>
      <c r="R211" s="22"/>
    </row>
    <row r="212" ht="15.75" customHeight="1" spans="1:18" x14ac:dyDescent="0.25">
      <c r="A212" s="22"/>
      <c r="B212" s="23"/>
      <c r="C212" s="22"/>
      <c r="D212" s="22"/>
      <c r="E212" s="20" t="s">
        <v>50</v>
      </c>
      <c r="F212" s="22"/>
      <c r="G212" s="4" t="s">
        <v>235</v>
      </c>
      <c r="H212" s="22"/>
      <c r="I212" s="22"/>
      <c r="J212" s="22"/>
      <c r="K212" s="22"/>
      <c r="L212" s="22"/>
      <c r="M212" s="4" t="s">
        <v>690</v>
      </c>
      <c r="N212" s="22"/>
      <c r="O212" s="22"/>
      <c r="P212" s="22"/>
      <c r="Q212" s="22"/>
      <c r="R212" s="22"/>
    </row>
    <row r="213" ht="15.75" customHeight="1" spans="1:18" x14ac:dyDescent="0.25">
      <c r="A213" s="22"/>
      <c r="B213" s="23"/>
      <c r="C213" s="22"/>
      <c r="D213" s="22"/>
      <c r="E213" s="20" t="s">
        <v>50</v>
      </c>
      <c r="F213" s="22"/>
      <c r="G213" s="4" t="s">
        <v>235</v>
      </c>
      <c r="H213" s="22"/>
      <c r="I213" s="22"/>
      <c r="J213" s="22"/>
      <c r="K213" s="22"/>
      <c r="L213" s="22"/>
      <c r="M213" s="4" t="s">
        <v>690</v>
      </c>
      <c r="N213" s="22"/>
      <c r="O213" s="22"/>
      <c r="P213" s="22"/>
      <c r="Q213" s="22"/>
      <c r="R213" s="22"/>
    </row>
    <row r="214" ht="15.75" customHeight="1" spans="1:18" x14ac:dyDescent="0.25">
      <c r="A214" s="22"/>
      <c r="B214" s="23"/>
      <c r="C214" s="22"/>
      <c r="D214" s="22"/>
      <c r="E214" s="20" t="s">
        <v>50</v>
      </c>
      <c r="F214" s="22"/>
      <c r="G214" s="4" t="s">
        <v>235</v>
      </c>
      <c r="H214" s="22"/>
      <c r="I214" s="22"/>
      <c r="J214" s="22"/>
      <c r="K214" s="22"/>
      <c r="L214" s="22"/>
      <c r="M214" s="4" t="s">
        <v>690</v>
      </c>
      <c r="N214" s="22"/>
      <c r="O214" s="22"/>
      <c r="P214" s="22"/>
      <c r="Q214" s="22"/>
      <c r="R214" s="22"/>
    </row>
    <row r="215" ht="15.75" customHeight="1" spans="1:18" x14ac:dyDescent="0.25">
      <c r="A215" s="22"/>
      <c r="B215" s="23"/>
      <c r="C215" s="22"/>
      <c r="D215" s="22"/>
      <c r="E215" s="20" t="s">
        <v>50</v>
      </c>
      <c r="F215" s="22"/>
      <c r="G215" s="4" t="s">
        <v>235</v>
      </c>
      <c r="H215" s="22"/>
      <c r="I215" s="22"/>
      <c r="J215" s="22"/>
      <c r="K215" s="22"/>
      <c r="L215" s="22"/>
      <c r="M215" s="4" t="s">
        <v>690</v>
      </c>
      <c r="N215" s="22"/>
      <c r="O215" s="22"/>
      <c r="P215" s="22"/>
      <c r="Q215" s="22"/>
      <c r="R215" s="22"/>
    </row>
    <row r="216" ht="15.75" customHeight="1" spans="1:18" x14ac:dyDescent="0.25">
      <c r="A216" s="22"/>
      <c r="B216" s="23"/>
      <c r="C216" s="22"/>
      <c r="D216" s="22"/>
      <c r="E216" s="20" t="s">
        <v>50</v>
      </c>
      <c r="F216" s="22"/>
      <c r="G216" s="4" t="s">
        <v>235</v>
      </c>
      <c r="H216" s="22"/>
      <c r="I216" s="22"/>
      <c r="J216" s="22"/>
      <c r="K216" s="22"/>
      <c r="L216" s="22"/>
      <c r="M216" s="4" t="s">
        <v>690</v>
      </c>
      <c r="N216" s="22"/>
      <c r="O216" s="22"/>
      <c r="P216" s="22"/>
      <c r="Q216" s="22"/>
      <c r="R216" s="22"/>
    </row>
    <row r="217" ht="15.75" customHeight="1" spans="1:18" x14ac:dyDescent="0.25">
      <c r="A217" s="22"/>
      <c r="B217" s="23"/>
      <c r="C217" s="22"/>
      <c r="D217" s="22"/>
      <c r="E217" s="20" t="s">
        <v>50</v>
      </c>
      <c r="F217" s="22"/>
      <c r="G217" s="4" t="s">
        <v>235</v>
      </c>
      <c r="H217" s="22"/>
      <c r="I217" s="22"/>
      <c r="J217" s="22"/>
      <c r="K217" s="22"/>
      <c r="L217" s="22"/>
      <c r="M217" s="4" t="s">
        <v>690</v>
      </c>
      <c r="N217" s="22"/>
      <c r="O217" s="22"/>
      <c r="P217" s="22"/>
      <c r="Q217" s="22"/>
      <c r="R217" s="22"/>
    </row>
    <row r="218" ht="15.75" customHeight="1" spans="1:18" x14ac:dyDescent="0.25">
      <c r="A218" s="22"/>
      <c r="B218" s="23"/>
      <c r="C218" s="22"/>
      <c r="D218" s="22"/>
      <c r="E218" s="20" t="s">
        <v>50</v>
      </c>
      <c r="F218" s="22"/>
      <c r="G218" s="4" t="s">
        <v>235</v>
      </c>
      <c r="H218" s="22"/>
      <c r="I218" s="22"/>
      <c r="J218" s="22"/>
      <c r="K218" s="22"/>
      <c r="L218" s="22"/>
      <c r="M218" s="4" t="s">
        <v>690</v>
      </c>
      <c r="N218" s="22"/>
      <c r="O218" s="22"/>
      <c r="P218" s="22"/>
      <c r="Q218" s="22"/>
      <c r="R218" s="22"/>
    </row>
    <row r="219" ht="15.75" customHeight="1" spans="1:18" x14ac:dyDescent="0.25">
      <c r="A219" s="22"/>
      <c r="B219" s="23"/>
      <c r="C219" s="22"/>
      <c r="D219" s="22"/>
      <c r="E219" s="20" t="s">
        <v>50</v>
      </c>
      <c r="F219" s="22"/>
      <c r="G219" s="4" t="s">
        <v>235</v>
      </c>
      <c r="H219" s="22"/>
      <c r="I219" s="22"/>
      <c r="J219" s="22"/>
      <c r="K219" s="22"/>
      <c r="L219" s="22"/>
      <c r="M219" s="4" t="s">
        <v>690</v>
      </c>
      <c r="N219" s="22"/>
      <c r="O219" s="22"/>
      <c r="P219" s="22"/>
      <c r="Q219" s="22"/>
      <c r="R219" s="22"/>
    </row>
    <row r="220" ht="15.75" customHeight="1" spans="1:18" x14ac:dyDescent="0.25">
      <c r="A220" s="22"/>
      <c r="B220" s="23"/>
      <c r="C220" s="22"/>
      <c r="D220" s="22"/>
      <c r="E220" s="20" t="s">
        <v>50</v>
      </c>
      <c r="F220" s="22"/>
      <c r="G220" s="4" t="s">
        <v>235</v>
      </c>
      <c r="H220" s="22"/>
      <c r="I220" s="22"/>
      <c r="J220" s="22"/>
      <c r="K220" s="22"/>
      <c r="L220" s="22"/>
      <c r="M220" s="4" t="s">
        <v>690</v>
      </c>
      <c r="N220" s="22"/>
      <c r="O220" s="22"/>
      <c r="P220" s="22"/>
      <c r="Q220" s="22"/>
      <c r="R220" s="22"/>
    </row>
    <row r="221" ht="15.75" customHeight="1" spans="1:18" x14ac:dyDescent="0.25">
      <c r="A221" s="22"/>
      <c r="B221" s="23"/>
      <c r="C221" s="22"/>
      <c r="D221" s="22"/>
      <c r="E221" s="20" t="s">
        <v>50</v>
      </c>
      <c r="F221" s="22"/>
      <c r="G221" s="4" t="s">
        <v>235</v>
      </c>
      <c r="H221" s="22"/>
      <c r="I221" s="22"/>
      <c r="J221" s="22"/>
      <c r="K221" s="22"/>
      <c r="L221" s="22"/>
      <c r="M221" s="4" t="s">
        <v>690</v>
      </c>
      <c r="N221" s="22"/>
      <c r="O221" s="22"/>
      <c r="P221" s="22"/>
      <c r="Q221" s="22"/>
      <c r="R221" s="22"/>
    </row>
    <row r="222" ht="15.75" customHeight="1" spans="1:18" x14ac:dyDescent="0.25">
      <c r="A222" s="22"/>
      <c r="B222" s="23"/>
      <c r="C222" s="22"/>
      <c r="D222" s="22"/>
      <c r="E222" s="20" t="s">
        <v>50</v>
      </c>
      <c r="F222" s="22"/>
      <c r="G222" s="4" t="s">
        <v>235</v>
      </c>
      <c r="H222" s="22"/>
      <c r="I222" s="22"/>
      <c r="J222" s="22"/>
      <c r="K222" s="22"/>
      <c r="L222" s="22"/>
      <c r="M222" s="4" t="s">
        <v>690</v>
      </c>
      <c r="N222" s="22"/>
      <c r="O222" s="22"/>
      <c r="P222" s="22"/>
      <c r="Q222" s="22"/>
      <c r="R222" s="22"/>
    </row>
    <row r="223" ht="15.75" customHeight="1" spans="1:18" x14ac:dyDescent="0.25">
      <c r="A223" s="22"/>
      <c r="B223" s="23"/>
      <c r="C223" s="22"/>
      <c r="D223" s="22"/>
      <c r="E223" s="20" t="s">
        <v>50</v>
      </c>
      <c r="F223" s="22"/>
      <c r="G223" s="4" t="s">
        <v>235</v>
      </c>
      <c r="H223" s="22"/>
      <c r="I223" s="22"/>
      <c r="J223" s="22"/>
      <c r="K223" s="22"/>
      <c r="L223" s="22"/>
      <c r="M223" s="4" t="s">
        <v>690</v>
      </c>
      <c r="N223" s="22"/>
      <c r="O223" s="22"/>
      <c r="P223" s="22"/>
      <c r="Q223" s="22"/>
      <c r="R223" s="22"/>
    </row>
    <row r="224" ht="15.75" customHeight="1" spans="1:18" x14ac:dyDescent="0.25">
      <c r="A224" s="22"/>
      <c r="B224" s="23"/>
      <c r="C224" s="22"/>
      <c r="D224" s="22"/>
      <c r="E224" s="20" t="s">
        <v>50</v>
      </c>
      <c r="F224" s="22"/>
      <c r="G224" s="4" t="s">
        <v>235</v>
      </c>
      <c r="H224" s="22"/>
      <c r="I224" s="22"/>
      <c r="J224" s="22"/>
      <c r="K224" s="22"/>
      <c r="L224" s="22"/>
      <c r="M224" s="4" t="s">
        <v>690</v>
      </c>
      <c r="N224" s="22"/>
      <c r="O224" s="22"/>
      <c r="P224" s="22"/>
      <c r="Q224" s="22"/>
      <c r="R224" s="22"/>
    </row>
    <row r="225" ht="15.75" customHeight="1" spans="1:18" x14ac:dyDescent="0.25">
      <c r="A225" s="22"/>
      <c r="B225" s="23"/>
      <c r="C225" s="22"/>
      <c r="D225" s="22"/>
      <c r="E225" s="20" t="s">
        <v>50</v>
      </c>
      <c r="F225" s="22"/>
      <c r="G225" s="4" t="s">
        <v>235</v>
      </c>
      <c r="H225" s="22"/>
      <c r="I225" s="22"/>
      <c r="J225" s="22"/>
      <c r="K225" s="22"/>
      <c r="L225" s="22"/>
      <c r="M225" s="4" t="s">
        <v>690</v>
      </c>
      <c r="N225" s="22"/>
      <c r="O225" s="22"/>
      <c r="P225" s="22"/>
      <c r="Q225" s="22"/>
      <c r="R225" s="22"/>
    </row>
    <row r="226" ht="15.75" customHeight="1" spans="1:18" x14ac:dyDescent="0.25">
      <c r="A226" s="22"/>
      <c r="B226" s="23"/>
      <c r="C226" s="22"/>
      <c r="D226" s="22"/>
      <c r="E226" s="20" t="s">
        <v>50</v>
      </c>
      <c r="F226" s="22"/>
      <c r="G226" s="4" t="s">
        <v>235</v>
      </c>
      <c r="H226" s="22"/>
      <c r="I226" s="22"/>
      <c r="J226" s="22"/>
      <c r="K226" s="22"/>
      <c r="L226" s="22"/>
      <c r="M226" s="4" t="s">
        <v>690</v>
      </c>
      <c r="N226" s="22"/>
      <c r="O226" s="22"/>
      <c r="P226" s="22"/>
      <c r="Q226" s="22"/>
      <c r="R226" s="22"/>
    </row>
    <row r="227" ht="15.75" customHeight="1" spans="1:18" x14ac:dyDescent="0.25">
      <c r="A227" s="22"/>
      <c r="B227" s="23"/>
      <c r="C227" s="22"/>
      <c r="D227" s="22"/>
      <c r="E227" s="20" t="s">
        <v>50</v>
      </c>
      <c r="F227" s="22"/>
      <c r="G227" s="4" t="s">
        <v>235</v>
      </c>
      <c r="H227" s="22"/>
      <c r="I227" s="22"/>
      <c r="J227" s="22"/>
      <c r="K227" s="22"/>
      <c r="L227" s="22"/>
      <c r="M227" s="4" t="s">
        <v>690</v>
      </c>
      <c r="N227" s="22"/>
      <c r="O227" s="22"/>
      <c r="P227" s="22"/>
      <c r="Q227" s="22"/>
      <c r="R227" s="22"/>
    </row>
    <row r="228" ht="15.75" customHeight="1" spans="1:18" x14ac:dyDescent="0.25">
      <c r="A228" s="22"/>
      <c r="B228" s="23"/>
      <c r="C228" s="22"/>
      <c r="D228" s="22"/>
      <c r="E228" s="20" t="s">
        <v>50</v>
      </c>
      <c r="F228" s="22"/>
      <c r="G228" s="4" t="s">
        <v>235</v>
      </c>
      <c r="H228" s="22"/>
      <c r="I228" s="22"/>
      <c r="J228" s="22"/>
      <c r="K228" s="22"/>
      <c r="L228" s="22"/>
      <c r="M228" s="4" t="s">
        <v>690</v>
      </c>
      <c r="N228" s="22"/>
      <c r="O228" s="22"/>
      <c r="P228" s="22"/>
      <c r="Q228" s="22"/>
      <c r="R228" s="22"/>
    </row>
    <row r="229" ht="15.75" customHeight="1" spans="1:18" x14ac:dyDescent="0.25">
      <c r="A229" s="22"/>
      <c r="B229" s="23"/>
      <c r="C229" s="22"/>
      <c r="D229" s="22"/>
      <c r="E229" s="20" t="s">
        <v>50</v>
      </c>
      <c r="F229" s="22"/>
      <c r="G229" s="4" t="s">
        <v>235</v>
      </c>
      <c r="H229" s="22"/>
      <c r="I229" s="22"/>
      <c r="J229" s="22"/>
      <c r="K229" s="22"/>
      <c r="L229" s="22"/>
      <c r="M229" s="4" t="s">
        <v>690</v>
      </c>
      <c r="N229" s="22"/>
      <c r="O229" s="22"/>
      <c r="P229" s="22"/>
      <c r="Q229" s="22"/>
      <c r="R229" s="22"/>
    </row>
    <row r="230" ht="15.75" customHeight="1" spans="1:18" x14ac:dyDescent="0.25">
      <c r="A230" s="22"/>
      <c r="B230" s="23"/>
      <c r="C230" s="22"/>
      <c r="D230" s="22"/>
      <c r="E230" s="20" t="s">
        <v>50</v>
      </c>
      <c r="F230" s="22"/>
      <c r="G230" s="4" t="s">
        <v>235</v>
      </c>
      <c r="H230" s="22"/>
      <c r="I230" s="22"/>
      <c r="J230" s="22"/>
      <c r="K230" s="22"/>
      <c r="L230" s="22"/>
      <c r="M230" s="4" t="s">
        <v>690</v>
      </c>
      <c r="N230" s="22"/>
      <c r="O230" s="22"/>
      <c r="P230" s="22"/>
      <c r="Q230" s="22"/>
      <c r="R230" s="22"/>
    </row>
    <row r="231" ht="15.75" customHeight="1" spans="1:18" x14ac:dyDescent="0.25">
      <c r="A231" s="22"/>
      <c r="B231" s="23"/>
      <c r="C231" s="22"/>
      <c r="D231" s="22"/>
      <c r="E231" s="20" t="s">
        <v>50</v>
      </c>
      <c r="F231" s="22"/>
      <c r="G231" s="4" t="s">
        <v>235</v>
      </c>
      <c r="H231" s="22"/>
      <c r="I231" s="22"/>
      <c r="J231" s="22"/>
      <c r="K231" s="22"/>
      <c r="L231" s="22"/>
      <c r="M231" s="4" t="s">
        <v>690</v>
      </c>
      <c r="N231" s="22"/>
      <c r="O231" s="22"/>
      <c r="P231" s="22"/>
      <c r="Q231" s="22"/>
      <c r="R231" s="22"/>
    </row>
    <row r="232" ht="15.75" customHeight="1" spans="1:18" x14ac:dyDescent="0.25">
      <c r="A232" s="22"/>
      <c r="B232" s="23"/>
      <c r="C232" s="22"/>
      <c r="D232" s="22"/>
      <c r="E232" s="20" t="s">
        <v>50</v>
      </c>
      <c r="F232" s="22"/>
      <c r="G232" s="4" t="s">
        <v>235</v>
      </c>
      <c r="H232" s="22"/>
      <c r="I232" s="22"/>
      <c r="J232" s="22"/>
      <c r="K232" s="22"/>
      <c r="L232" s="22"/>
      <c r="M232" s="4" t="s">
        <v>690</v>
      </c>
      <c r="N232" s="22"/>
      <c r="O232" s="22"/>
      <c r="P232" s="22"/>
      <c r="Q232" s="22"/>
      <c r="R232" s="22"/>
    </row>
    <row r="233" ht="15.75" customHeight="1" spans="1:18" x14ac:dyDescent="0.25">
      <c r="A233" s="22"/>
      <c r="B233" s="23"/>
      <c r="C233" s="22"/>
      <c r="D233" s="22"/>
      <c r="E233" s="20" t="s">
        <v>50</v>
      </c>
      <c r="F233" s="22"/>
      <c r="G233" s="4" t="s">
        <v>235</v>
      </c>
      <c r="H233" s="22"/>
      <c r="I233" s="22"/>
      <c r="J233" s="22"/>
      <c r="K233" s="22"/>
      <c r="L233" s="22"/>
      <c r="M233" s="4" t="s">
        <v>690</v>
      </c>
      <c r="N233" s="22"/>
      <c r="O233" s="22"/>
      <c r="P233" s="22"/>
      <c r="Q233" s="22"/>
      <c r="R233" s="22"/>
    </row>
    <row r="234" ht="15.75" customHeight="1" spans="1:18" x14ac:dyDescent="0.25">
      <c r="A234" s="22"/>
      <c r="B234" s="23"/>
      <c r="C234" s="22"/>
      <c r="D234" s="22"/>
      <c r="E234" s="20" t="s">
        <v>50</v>
      </c>
      <c r="F234" s="22"/>
      <c r="G234" s="4" t="s">
        <v>235</v>
      </c>
      <c r="H234" s="22"/>
      <c r="I234" s="22"/>
      <c r="J234" s="22"/>
      <c r="K234" s="22"/>
      <c r="L234" s="22"/>
      <c r="M234" s="4" t="s">
        <v>690</v>
      </c>
      <c r="N234" s="22"/>
      <c r="O234" s="22"/>
      <c r="P234" s="22"/>
      <c r="Q234" s="22"/>
      <c r="R234" s="22"/>
    </row>
    <row r="235" ht="15.75" customHeight="1" spans="1:18" x14ac:dyDescent="0.25">
      <c r="A235" s="22"/>
      <c r="B235" s="23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</row>
    <row r="236" ht="15.75" customHeight="1" spans="1:18" x14ac:dyDescent="0.25">
      <c r="A236" s="22"/>
      <c r="B236" s="23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</row>
    <row r="237" ht="15.75" customHeight="1" spans="1:18" x14ac:dyDescent="0.25">
      <c r="A237" s="22"/>
      <c r="B237" s="23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</row>
    <row r="238" ht="15.75" customHeight="1" spans="1:18" x14ac:dyDescent="0.25">
      <c r="A238" s="22"/>
      <c r="B238" s="23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</row>
    <row r="239" ht="15.75" customHeight="1" spans="1:18" x14ac:dyDescent="0.25">
      <c r="A239" s="22"/>
      <c r="B239" s="23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</row>
    <row r="240" ht="15.75" customHeight="1" spans="1:18" x14ac:dyDescent="0.25">
      <c r="A240" s="22"/>
      <c r="B240" s="23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</row>
    <row r="241" ht="15.75" customHeight="1" spans="1:18" x14ac:dyDescent="0.25">
      <c r="A241" s="22"/>
      <c r="B241" s="23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</row>
    <row r="242" ht="15.75" customHeight="1" spans="1:18" x14ac:dyDescent="0.25">
      <c r="A242" s="22"/>
      <c r="B242" s="23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</row>
    <row r="243" ht="15.75" customHeight="1" spans="1:18" x14ac:dyDescent="0.25">
      <c r="A243" s="22"/>
      <c r="B243" s="23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</row>
    <row r="244" ht="15.75" customHeight="1" spans="1:18" x14ac:dyDescent="0.25">
      <c r="A244" s="22"/>
      <c r="B244" s="23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</row>
    <row r="245" ht="15.75" customHeight="1" spans="1:18" x14ac:dyDescent="0.25">
      <c r="A245" s="22"/>
      <c r="B245" s="23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</row>
    <row r="246" ht="15.75" customHeight="1" spans="1:18" x14ac:dyDescent="0.25">
      <c r="A246" s="22"/>
      <c r="B246" s="23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</row>
    <row r="247" ht="15.75" customHeight="1" spans="1:18" x14ac:dyDescent="0.25">
      <c r="A247" s="22"/>
      <c r="B247" s="23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</row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2">
    <mergeCell ref="A1:R1"/>
    <mergeCell ref="A2:R2"/>
  </mergeCells>
  <dataValidations count="4">
    <dataValidation type="list" allowBlank="1" sqref="E5:E237">
      <formula1>"Functional,Regression,Smoke,Sanity,UAT,Integration,Performance,Security,Usability,Exploratory"</formula1>
    </dataValidation>
    <dataValidation type="list" allowBlank="1" sqref="F5:F57">
      <formula1>"High,Medium,Low"</formula1>
    </dataValidation>
    <dataValidation type="list" allowBlank="1" sqref="G5:G237">
      <formula1>"Critical,Major,Minor,Trivial"</formula1>
    </dataValidation>
    <dataValidation type="list" allowBlank="1" sqref="M5:M237">
      <formula1>"Not Run,Pass,Fail,Rejected,In Progress,Moved"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FormatPr defaultRowHeight="15" outlineLevelRow="0" outlineLevelCol="0" x14ac:dyDescent="55"/>
  <cols>
    <col min="1" max="1" width="22" customWidth="1"/>
    <col min="2" max="2" width="14" customWidth="1"/>
    <col min="3" max="4" width="9.285714285714286" customWidth="1"/>
    <col min="5" max="24" width="13.571428571428571" customWidth="1"/>
  </cols>
  <sheetData>
    <row r="1" ht="25.5" customHeight="1" spans="1:4" x14ac:dyDescent="0.25">
      <c r="A1" s="1" t="s">
        <v>691</v>
      </c>
      <c r="B1" s="1"/>
      <c r="C1" s="1"/>
      <c r="D1" s="1"/>
    </row>
    <row r="2" spans="1:4" x14ac:dyDescent="0.25">
      <c r="A2" s="8" t="s">
        <v>692</v>
      </c>
      <c r="B2" s="8"/>
      <c r="C2" s="8"/>
      <c r="D2" s="8"/>
    </row>
    <row r="4" spans="1:2" x14ac:dyDescent="0.25">
      <c r="A4" s="2" t="s">
        <v>693</v>
      </c>
      <c r="B4" s="2" t="s">
        <v>694</v>
      </c>
    </row>
    <row r="5" spans="1:2" x14ac:dyDescent="0.25">
      <c r="A5" s="24" t="s">
        <v>695</v>
      </c>
      <c r="B5" s="25">
        <f>COUNTA('Test Cases'!A5:A57)</f>
      </c>
    </row>
    <row r="6" spans="1:2" x14ac:dyDescent="0.25">
      <c r="A6" s="24" t="s">
        <v>58</v>
      </c>
      <c r="B6" s="25">
        <f>COUNTIF('Test Cases'!M5:M57,"Pass")</f>
      </c>
    </row>
    <row r="7" spans="1:2" x14ac:dyDescent="0.25">
      <c r="A7" s="24" t="s">
        <v>71</v>
      </c>
      <c r="B7" s="25">
        <f>COUNTIF('Test Cases'!M5:M57,"Fail")</f>
      </c>
    </row>
    <row r="8" spans="1:2" x14ac:dyDescent="0.25">
      <c r="A8" s="24" t="s">
        <v>696</v>
      </c>
      <c r="B8" s="25">
        <f>COUNTIF('Test Cases'!M5:M57,"Rejected")</f>
      </c>
    </row>
    <row r="9" spans="1:2" x14ac:dyDescent="0.25">
      <c r="A9" s="24" t="s">
        <v>697</v>
      </c>
      <c r="B9" s="25">
        <f>COUNTIF('Test Cases'!M5:M57,"Not Run")</f>
      </c>
    </row>
    <row r="10" spans="1:2" x14ac:dyDescent="0.25">
      <c r="A10" s="24" t="s">
        <v>690</v>
      </c>
      <c r="B10" s="25">
        <f>COUNTIF('Test Cases'!M5:M57,"In Progress")</f>
      </c>
    </row>
    <row r="11" spans="1:2" x14ac:dyDescent="0.25">
      <c r="A11" s="24" t="s">
        <v>698</v>
      </c>
      <c r="B11" s="25">
        <f>COUNTIF('Test Cases'!M5:M57,"Moved")</f>
      </c>
    </row>
    <row r="12" spans="1:2" x14ac:dyDescent="0.25">
      <c r="A12" s="24" t="s">
        <v>699</v>
      </c>
      <c r="B12" s="26">
        <f>IFERROR(B3/B2,0)</f>
      </c>
    </row>
    <row r="15" spans="1:4" x14ac:dyDescent="0.25">
      <c r="A15" s="8" t="s">
        <v>700</v>
      </c>
      <c r="B15" s="8"/>
      <c r="C15" s="8"/>
      <c r="D15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2026-08-31T06:08:52Z</dcterms:created>
  <dcterms:modified xsi:type="dcterms:W3CDTF">2026-08-31T06:08:52Z</dcterms:modified>
</cp:coreProperties>
</file>